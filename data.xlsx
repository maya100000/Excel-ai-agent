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as\OneDrive\שולחן העבודה\Agent demo\excel_agent\"/>
    </mc:Choice>
  </mc:AlternateContent>
  <xr:revisionPtr revIDLastSave="0" documentId="8_{6782AF8F-33C8-40D4-84A9-A8D569FD252A}" xr6:coauthVersionLast="47" xr6:coauthVersionMax="47" xr10:uidLastSave="{00000000-0000-0000-0000-000000000000}"/>
  <bookViews>
    <workbookView xWindow="-103" yWindow="-103" windowWidth="16663" windowHeight="8863" firstSheet="3" xr2:uid="{AC329A47-3A64-4406-9F22-86AEC0A411AD}"/>
  </bookViews>
  <sheets>
    <sheet name="אפריל 24" sheetId="1" r:id="rId1"/>
    <sheet name="מאי 24" sheetId="2" r:id="rId2"/>
    <sheet name="יוני 24" sheetId="3" r:id="rId3"/>
    <sheet name="ינואר 25" sheetId="9" r:id="rId4"/>
    <sheet name="פברואר 25" sheetId="8" r:id="rId5"/>
    <sheet name="מרץ 25" sheetId="7" r:id="rId6"/>
    <sheet name="אפריל 25" sheetId="4" r:id="rId7"/>
    <sheet name="מאי 25" sheetId="5" r:id="rId8"/>
    <sheet name="יוני 25" sheetId="6" r:id="rId9"/>
    <sheet name="יולי 25" sheetId="10" r:id="rId10"/>
    <sheet name="אוגוסט 24" sheetId="11" r:id="rId11"/>
    <sheet name="ספט 24" sheetId="14" r:id="rId12"/>
    <sheet name="אוגוסט 25" sheetId="12" r:id="rId13"/>
    <sheet name="ספטמבר 25" sheetId="15" r:id="rId14"/>
    <sheet name="נציגים" sheetId="16" state="hidden" r:id="rId15"/>
    <sheet name="חיזוי אוגוסט+ספט" sheetId="17" state="hidden" r:id="rId16"/>
    <sheet name="חיזוי-תוצאות וסטיות" sheetId="18" state="hidden" r:id="rId1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8" l="1"/>
  <c r="A14" i="18"/>
  <c r="I3" i="18" l="1"/>
  <c r="I4" i="18"/>
  <c r="I5" i="18"/>
  <c r="I8" i="18"/>
  <c r="I9" i="18"/>
  <c r="I10" i="18"/>
  <c r="I11" i="18"/>
  <c r="I2" i="18"/>
  <c r="H3" i="18"/>
  <c r="H4" i="18"/>
  <c r="H5" i="18"/>
  <c r="H8" i="18"/>
  <c r="H9" i="18"/>
  <c r="H10" i="18"/>
  <c r="H11" i="18"/>
  <c r="H2" i="18"/>
  <c r="C12" i="17"/>
  <c r="C33" i="15" l="1"/>
  <c r="B33" i="15"/>
  <c r="H12" i="17" l="1"/>
  <c r="H13" i="17"/>
  <c r="H14" i="17"/>
  <c r="H15" i="17"/>
  <c r="H16" i="17"/>
  <c r="H17" i="17"/>
  <c r="H18" i="17"/>
  <c r="H19" i="17"/>
  <c r="H20" i="17"/>
  <c r="H21" i="17"/>
  <c r="H22" i="17"/>
  <c r="H23" i="17"/>
  <c r="H24" i="17"/>
  <c r="H25" i="17"/>
  <c r="H26" i="17"/>
  <c r="H27" i="17"/>
  <c r="H28" i="17"/>
  <c r="H29" i="17"/>
  <c r="H30" i="17"/>
  <c r="H31" i="17"/>
  <c r="H32" i="17"/>
  <c r="H33" i="17"/>
  <c r="H34" i="17"/>
  <c r="H35" i="17"/>
  <c r="H36" i="17"/>
  <c r="H37" i="17"/>
  <c r="H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2" i="17"/>
  <c r="M33" i="17"/>
  <c r="M34" i="17"/>
  <c r="M35" i="17"/>
  <c r="M36" i="17"/>
  <c r="M37" i="17"/>
  <c r="M11" i="17"/>
  <c r="G32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D15" i="17"/>
  <c r="D16" i="17"/>
  <c r="D17" i="17"/>
  <c r="D18" i="17"/>
  <c r="G18" i="17" s="1"/>
  <c r="D21" i="17"/>
  <c r="D22" i="17"/>
  <c r="G22" i="17" s="1"/>
  <c r="D23" i="17"/>
  <c r="D24" i="17"/>
  <c r="D25" i="17"/>
  <c r="G26" i="17"/>
  <c r="D28" i="17"/>
  <c r="D29" i="17"/>
  <c r="D30" i="17"/>
  <c r="G30" i="17" s="1"/>
  <c r="D31" i="17"/>
  <c r="D32" i="17"/>
  <c r="G34" i="17"/>
  <c r="I34" i="17" s="1"/>
  <c r="D35" i="17"/>
  <c r="D36" i="17"/>
  <c r="D37" i="17"/>
  <c r="D14" i="17"/>
  <c r="G24" i="17"/>
  <c r="G28" i="17"/>
  <c r="G35" i="17"/>
  <c r="I35" i="17" s="1"/>
  <c r="G37" i="17"/>
  <c r="I37" i="17" s="1"/>
  <c r="C14" i="17"/>
  <c r="G36" i="17"/>
  <c r="I36" i="17" s="1"/>
  <c r="G31" i="17"/>
  <c r="I31" i="17" s="1"/>
  <c r="I32" i="17"/>
  <c r="G33" i="17"/>
  <c r="I33" i="17" s="1"/>
  <c r="B36" i="17"/>
  <c r="B37" i="17"/>
  <c r="P36" i="17"/>
  <c r="Q36" i="17" s="1"/>
  <c r="P37" i="17"/>
  <c r="Q37" i="17"/>
  <c r="A36" i="17"/>
  <c r="A37" i="17"/>
  <c r="B34" i="17"/>
  <c r="B35" i="17"/>
  <c r="P34" i="17"/>
  <c r="P35" i="17"/>
  <c r="Q35" i="17" s="1"/>
  <c r="Q34" i="17"/>
  <c r="A34" i="17"/>
  <c r="A35" i="17"/>
  <c r="B31" i="17"/>
  <c r="B32" i="17"/>
  <c r="B33" i="17"/>
  <c r="P31" i="17"/>
  <c r="Q31" i="17" s="1"/>
  <c r="P32" i="17"/>
  <c r="Q32" i="17" s="1"/>
  <c r="P33" i="17"/>
  <c r="Q33" i="17" s="1"/>
  <c r="A31" i="17"/>
  <c r="A32" i="17"/>
  <c r="A33" i="17"/>
  <c r="G27" i="17"/>
  <c r="G29" i="17"/>
  <c r="B27" i="17"/>
  <c r="B28" i="17"/>
  <c r="B29" i="17"/>
  <c r="B30" i="17"/>
  <c r="P27" i="17"/>
  <c r="P28" i="17"/>
  <c r="P29" i="17"/>
  <c r="Q29" i="17" s="1"/>
  <c r="P30" i="17"/>
  <c r="Q27" i="17"/>
  <c r="Q28" i="17"/>
  <c r="Q30" i="17"/>
  <c r="A27" i="17"/>
  <c r="A28" i="17"/>
  <c r="A29" i="17"/>
  <c r="A30" i="17"/>
  <c r="G23" i="17"/>
  <c r="G25" i="17"/>
  <c r="B23" i="17"/>
  <c r="B24" i="17"/>
  <c r="B25" i="17"/>
  <c r="B26" i="17"/>
  <c r="P23" i="17"/>
  <c r="P24" i="17"/>
  <c r="P25" i="17"/>
  <c r="P26" i="17"/>
  <c r="Q23" i="17"/>
  <c r="Q24" i="17"/>
  <c r="Q25" i="17"/>
  <c r="Q26" i="17"/>
  <c r="A23" i="17"/>
  <c r="A24" i="17"/>
  <c r="A25" i="17"/>
  <c r="A26" i="17"/>
  <c r="G19" i="17"/>
  <c r="G20" i="17"/>
  <c r="G21" i="17"/>
  <c r="B22" i="17"/>
  <c r="P22" i="17"/>
  <c r="Q22" i="17"/>
  <c r="A22" i="17"/>
  <c r="B18" i="17"/>
  <c r="B19" i="17"/>
  <c r="B20" i="17"/>
  <c r="B21" i="17"/>
  <c r="P18" i="17"/>
  <c r="P19" i="17"/>
  <c r="P20" i="17"/>
  <c r="P21" i="17"/>
  <c r="Q18" i="17"/>
  <c r="Q19" i="17"/>
  <c r="Q20" i="17"/>
  <c r="Q21" i="17"/>
  <c r="A18" i="17"/>
  <c r="A19" i="17"/>
  <c r="A20" i="17"/>
  <c r="A21" i="17"/>
  <c r="P17" i="17"/>
  <c r="Q17" i="17"/>
  <c r="A17" i="17"/>
  <c r="B17" i="17" s="1"/>
  <c r="G17" i="17" s="1"/>
  <c r="A16" i="17"/>
  <c r="B16" i="17" s="1"/>
  <c r="G12" i="17"/>
  <c r="A15" i="17"/>
  <c r="B15" i="17" s="1"/>
  <c r="A14" i="17"/>
  <c r="B14" i="17" s="1"/>
  <c r="P15" i="17"/>
  <c r="P16" i="17"/>
  <c r="Q16" i="17" s="1"/>
  <c r="Q15" i="17"/>
  <c r="P13" i="17"/>
  <c r="P14" i="17"/>
  <c r="Q14" i="17" s="1"/>
  <c r="Q13" i="17"/>
  <c r="A13" i="17"/>
  <c r="B13" i="17" s="1"/>
  <c r="G13" i="17" s="1"/>
  <c r="J36" i="17" l="1"/>
  <c r="J37" i="17"/>
  <c r="J35" i="17"/>
  <c r="J34" i="17"/>
  <c r="J31" i="17"/>
  <c r="K31" i="17" s="1"/>
  <c r="L31" i="17" s="1"/>
  <c r="M31" i="17" s="1"/>
  <c r="J32" i="17"/>
  <c r="J33" i="17"/>
  <c r="I29" i="17"/>
  <c r="J29" i="17" s="1"/>
  <c r="I28" i="17"/>
  <c r="J28" i="17" s="1"/>
  <c r="I27" i="17"/>
  <c r="J27" i="17" s="1"/>
  <c r="I30" i="17"/>
  <c r="J30" i="17" s="1"/>
  <c r="K30" i="17" s="1"/>
  <c r="L30" i="17" s="1"/>
  <c r="M30" i="17" s="1"/>
  <c r="I26" i="17"/>
  <c r="J26" i="17" s="1"/>
  <c r="I24" i="17"/>
  <c r="J24" i="17" s="1"/>
  <c r="I23" i="17"/>
  <c r="J23" i="17" s="1"/>
  <c r="I25" i="17"/>
  <c r="J25" i="17" s="1"/>
  <c r="G16" i="17"/>
  <c r="I22" i="17"/>
  <c r="J22" i="17" s="1"/>
  <c r="I21" i="17"/>
  <c r="J21" i="17" s="1"/>
  <c r="I20" i="17"/>
  <c r="J20" i="17" s="1"/>
  <c r="L20" i="17" s="1"/>
  <c r="N20" i="17" s="1"/>
  <c r="O20" i="17" s="1"/>
  <c r="I19" i="17"/>
  <c r="J19" i="17" s="1"/>
  <c r="L19" i="17" s="1"/>
  <c r="N19" i="17" s="1"/>
  <c r="O19" i="17" s="1"/>
  <c r="G15" i="17"/>
  <c r="I15" i="17" s="1"/>
  <c r="I18" i="17"/>
  <c r="J18" i="17" s="1"/>
  <c r="G14" i="17"/>
  <c r="I14" i="17" s="1"/>
  <c r="I13" i="17"/>
  <c r="J13" i="17" s="1"/>
  <c r="C13" i="17"/>
  <c r="H31" i="14"/>
  <c r="I31" i="14" s="1"/>
  <c r="I30" i="14"/>
  <c r="H28" i="14"/>
  <c r="H29" i="14"/>
  <c r="H30" i="14"/>
  <c r="I27" i="14"/>
  <c r="H27" i="14"/>
  <c r="I26" i="14"/>
  <c r="H26" i="14"/>
  <c r="I25" i="14"/>
  <c r="H25" i="14"/>
  <c r="I24" i="14"/>
  <c r="H24" i="14"/>
  <c r="I9" i="14"/>
  <c r="I23" i="14"/>
  <c r="H21" i="14"/>
  <c r="H22" i="14"/>
  <c r="H23" i="14"/>
  <c r="I20" i="14"/>
  <c r="H20" i="14"/>
  <c r="H19" i="14"/>
  <c r="I19" i="14" s="1"/>
  <c r="I18" i="14"/>
  <c r="H18" i="14"/>
  <c r="H17" i="14"/>
  <c r="I17" i="14" s="1"/>
  <c r="I16" i="14"/>
  <c r="H14" i="14"/>
  <c r="H15" i="14"/>
  <c r="H16" i="14"/>
  <c r="I13" i="14"/>
  <c r="H13" i="14"/>
  <c r="I12" i="14"/>
  <c r="H12" i="14"/>
  <c r="H11" i="14"/>
  <c r="I11" i="14" s="1"/>
  <c r="I10" i="14"/>
  <c r="H10" i="14"/>
  <c r="H7" i="14"/>
  <c r="H8" i="14"/>
  <c r="H9" i="14"/>
  <c r="L36" i="17" l="1"/>
  <c r="N36" i="17" s="1"/>
  <c r="O36" i="17" s="1"/>
  <c r="L37" i="17"/>
  <c r="N37" i="17" s="1"/>
  <c r="O37" i="17" s="1"/>
  <c r="L35" i="17"/>
  <c r="N35" i="17" s="1"/>
  <c r="O35" i="17" s="1"/>
  <c r="L34" i="17"/>
  <c r="N34" i="17" s="1"/>
  <c r="O34" i="17" s="1"/>
  <c r="N31" i="17"/>
  <c r="O31" i="17" s="1"/>
  <c r="L33" i="17"/>
  <c r="N33" i="17" s="1"/>
  <c r="O33" i="17" s="1"/>
  <c r="L32" i="17"/>
  <c r="N32" i="17" s="1"/>
  <c r="O32" i="17" s="1"/>
  <c r="L27" i="17"/>
  <c r="N27" i="17" s="1"/>
  <c r="O27" i="17" s="1"/>
  <c r="L28" i="17"/>
  <c r="N28" i="17" s="1"/>
  <c r="O28" i="17" s="1"/>
  <c r="L29" i="17"/>
  <c r="N29" i="17" s="1"/>
  <c r="O29" i="17" s="1"/>
  <c r="N30" i="17"/>
  <c r="O30" i="17" s="1"/>
  <c r="L25" i="17"/>
  <c r="N25" i="17" s="1"/>
  <c r="O25" i="17" s="1"/>
  <c r="L23" i="17"/>
  <c r="N23" i="17" s="1"/>
  <c r="O23" i="17" s="1"/>
  <c r="L24" i="17"/>
  <c r="N24" i="17" s="1"/>
  <c r="O24" i="17" s="1"/>
  <c r="L18" i="17"/>
  <c r="N18" i="17" s="1"/>
  <c r="O18" i="17" s="1"/>
  <c r="L21" i="17"/>
  <c r="N21" i="17" s="1"/>
  <c r="O21" i="17" s="1"/>
  <c r="J14" i="17"/>
  <c r="L14" i="17" s="1"/>
  <c r="N14" i="17" s="1"/>
  <c r="O14" i="17" s="1"/>
  <c r="I16" i="17"/>
  <c r="J16" i="17" s="1"/>
  <c r="L16" i="17" s="1"/>
  <c r="N16" i="17" s="1"/>
  <c r="I17" i="17"/>
  <c r="J17" i="17" s="1"/>
  <c r="J15" i="17"/>
  <c r="L13" i="17"/>
  <c r="N13" i="17" s="1"/>
  <c r="O13" i="17" s="1"/>
  <c r="P8" i="17"/>
  <c r="Q8" i="17" s="1"/>
  <c r="P9" i="17"/>
  <c r="Q9" i="17" s="1"/>
  <c r="P10" i="17"/>
  <c r="Q10" i="17" s="1"/>
  <c r="P11" i="17"/>
  <c r="Q11" i="17" s="1"/>
  <c r="P2" i="17"/>
  <c r="Q2" i="17" s="1"/>
  <c r="P3" i="17"/>
  <c r="Q3" i="17" s="1"/>
  <c r="P4" i="17"/>
  <c r="Q4" i="17" s="1"/>
  <c r="P5" i="17"/>
  <c r="Q5" i="17" s="1"/>
  <c r="P6" i="17"/>
  <c r="Q6" i="17" s="1"/>
  <c r="P7" i="17"/>
  <c r="Q7" i="17" s="1"/>
  <c r="G5" i="17"/>
  <c r="I5" i="17" s="1"/>
  <c r="G6" i="17"/>
  <c r="I6" i="17" s="1"/>
  <c r="I12" i="17"/>
  <c r="I21" i="11"/>
  <c r="I22" i="11"/>
  <c r="I23" i="11"/>
  <c r="I26" i="11"/>
  <c r="I27" i="11"/>
  <c r="I28" i="11"/>
  <c r="I29" i="11"/>
  <c r="I30" i="11"/>
  <c r="J33" i="12"/>
  <c r="I33" i="12"/>
  <c r="H33" i="12"/>
  <c r="K20" i="12"/>
  <c r="K21" i="12"/>
  <c r="K22" i="12"/>
  <c r="K25" i="12"/>
  <c r="J20" i="12"/>
  <c r="J21" i="12"/>
  <c r="J22" i="12"/>
  <c r="J23" i="12"/>
  <c r="J24" i="12"/>
  <c r="J25" i="12"/>
  <c r="I20" i="12"/>
  <c r="I21" i="12"/>
  <c r="I22" i="12"/>
  <c r="I25" i="12"/>
  <c r="H25" i="12"/>
  <c r="H20" i="12"/>
  <c r="H21" i="12"/>
  <c r="H22" i="12"/>
  <c r="A12" i="17"/>
  <c r="B12" i="17" s="1"/>
  <c r="A11" i="17"/>
  <c r="B11" i="17" s="1"/>
  <c r="A9" i="17"/>
  <c r="B9" i="17" s="1"/>
  <c r="A10" i="17"/>
  <c r="B10" i="17" s="1"/>
  <c r="A2" i="17"/>
  <c r="B2" i="17" s="1"/>
  <c r="D2" i="17" s="1"/>
  <c r="G2" i="17" s="1"/>
  <c r="I2" i="17" s="1"/>
  <c r="A3" i="17"/>
  <c r="A4" i="17"/>
  <c r="A5" i="17"/>
  <c r="B5" i="17" s="1"/>
  <c r="C5" i="17" s="1"/>
  <c r="H5" i="17" s="1"/>
  <c r="A6" i="17"/>
  <c r="B6" i="17" s="1"/>
  <c r="A7" i="17"/>
  <c r="A8" i="17"/>
  <c r="B8" i="17" s="1"/>
  <c r="E11" i="16"/>
  <c r="F11" i="16" s="1"/>
  <c r="D11" i="16"/>
  <c r="F10" i="16"/>
  <c r="E10" i="16"/>
  <c r="D10" i="16"/>
  <c r="E9" i="16"/>
  <c r="F9" i="16" s="1"/>
  <c r="D9" i="16"/>
  <c r="D8" i="16"/>
  <c r="C8" i="16"/>
  <c r="E8" i="16" s="1"/>
  <c r="F8" i="16" s="1"/>
  <c r="E7" i="16"/>
  <c r="F7" i="16" s="1"/>
  <c r="D7" i="16"/>
  <c r="E6" i="16"/>
  <c r="F6" i="16" s="1"/>
  <c r="D6" i="16"/>
  <c r="F5" i="16"/>
  <c r="E5" i="16"/>
  <c r="D5" i="16"/>
  <c r="E4" i="16"/>
  <c r="F4" i="16" s="1"/>
  <c r="D4" i="16"/>
  <c r="E3" i="16"/>
  <c r="F3" i="16" s="1"/>
  <c r="D3" i="16"/>
  <c r="E2" i="16"/>
  <c r="F2" i="16" s="1"/>
  <c r="D2" i="16"/>
  <c r="L26" i="17" l="1"/>
  <c r="N26" i="17" s="1"/>
  <c r="O26" i="17" s="1"/>
  <c r="L22" i="17"/>
  <c r="N22" i="17" s="1"/>
  <c r="O22" i="17" s="1"/>
  <c r="C11" i="17"/>
  <c r="D11" i="17"/>
  <c r="G11" i="17" s="1"/>
  <c r="I11" i="17" s="1"/>
  <c r="L17" i="17"/>
  <c r="N17" i="17" s="1"/>
  <c r="O17" i="17" s="1"/>
  <c r="L15" i="17"/>
  <c r="N15" i="17" s="1"/>
  <c r="O15" i="17" s="1"/>
  <c r="O16" i="17"/>
  <c r="J12" i="17"/>
  <c r="J6" i="17"/>
  <c r="J5" i="17"/>
  <c r="J2" i="17"/>
  <c r="C6" i="17"/>
  <c r="H6" i="17" s="1"/>
  <c r="C2" i="17"/>
  <c r="H2" i="17" s="1"/>
  <c r="B3" i="17"/>
  <c r="B7" i="17"/>
  <c r="B4" i="17"/>
  <c r="I3" i="15"/>
  <c r="I4" i="15"/>
  <c r="I5" i="15"/>
  <c r="I2" i="15"/>
  <c r="M21" i="12"/>
  <c r="M22" i="12"/>
  <c r="M23" i="12"/>
  <c r="M24" i="12"/>
  <c r="M25" i="12"/>
  <c r="M26" i="12"/>
  <c r="M27" i="12"/>
  <c r="M28" i="12"/>
  <c r="M29" i="12"/>
  <c r="M30" i="12"/>
  <c r="M31" i="12"/>
  <c r="M32" i="12"/>
  <c r="J4" i="15"/>
  <c r="J5" i="15"/>
  <c r="J2" i="15"/>
  <c r="J3" i="15"/>
  <c r="D33" i="11"/>
  <c r="I20" i="11"/>
  <c r="I19" i="11"/>
  <c r="I16" i="11"/>
  <c r="A2" i="15"/>
  <c r="B2" i="15" s="1"/>
  <c r="A3" i="15"/>
  <c r="B3" i="15" s="1"/>
  <c r="A4" i="15"/>
  <c r="B4" i="15" s="1"/>
  <c r="A5" i="15"/>
  <c r="A6" i="15"/>
  <c r="B6" i="15" s="1"/>
  <c r="B5" i="15"/>
  <c r="I4" i="14"/>
  <c r="A2" i="14"/>
  <c r="B2" i="14" s="1"/>
  <c r="A3" i="14"/>
  <c r="B3" i="14" s="1"/>
  <c r="A4" i="14"/>
  <c r="A5" i="14"/>
  <c r="B5" i="14" s="1"/>
  <c r="A6" i="14"/>
  <c r="B6" i="14" s="1"/>
  <c r="A7" i="14"/>
  <c r="B7" i="14" s="1"/>
  <c r="A8" i="14"/>
  <c r="A9" i="14"/>
  <c r="B9" i="14" s="1"/>
  <c r="A10" i="14"/>
  <c r="A11" i="14"/>
  <c r="B11" i="14" s="1"/>
  <c r="A12" i="14"/>
  <c r="A13" i="14"/>
  <c r="B13" i="14" s="1"/>
  <c r="A14" i="14"/>
  <c r="B14" i="14" s="1"/>
  <c r="A15" i="14"/>
  <c r="B15" i="14" s="1"/>
  <c r="A16" i="14"/>
  <c r="A17" i="14"/>
  <c r="B17" i="14" s="1"/>
  <c r="A18" i="14"/>
  <c r="A19" i="14"/>
  <c r="B19" i="14" s="1"/>
  <c r="A20" i="14"/>
  <c r="A21" i="14"/>
  <c r="B21" i="14" s="1"/>
  <c r="A22" i="14"/>
  <c r="B22" i="14" s="1"/>
  <c r="A23" i="14"/>
  <c r="B23" i="14" s="1"/>
  <c r="A24" i="14"/>
  <c r="A25" i="14"/>
  <c r="B25" i="14" s="1"/>
  <c r="A26" i="14"/>
  <c r="A27" i="14"/>
  <c r="B27" i="14" s="1"/>
  <c r="A28" i="14"/>
  <c r="A29" i="14"/>
  <c r="B29" i="14" s="1"/>
  <c r="A30" i="14"/>
  <c r="B30" i="14" s="1"/>
  <c r="A31" i="14"/>
  <c r="B31" i="14" s="1"/>
  <c r="B28" i="14"/>
  <c r="B26" i="14"/>
  <c r="B24" i="14"/>
  <c r="B20" i="14"/>
  <c r="B18" i="14"/>
  <c r="B16" i="14"/>
  <c r="B12" i="14"/>
  <c r="B10" i="14"/>
  <c r="B8" i="14"/>
  <c r="H6" i="14"/>
  <c r="I6" i="14" s="1"/>
  <c r="D32" i="14" s="1"/>
  <c r="H5" i="14"/>
  <c r="I5" i="14" s="1"/>
  <c r="H4" i="14"/>
  <c r="B4" i="14"/>
  <c r="H3" i="14"/>
  <c r="I3" i="14" s="1"/>
  <c r="H2" i="14"/>
  <c r="I2" i="14" s="1"/>
  <c r="C8" i="17" l="1"/>
  <c r="H8" i="17" s="1"/>
  <c r="D9" i="17"/>
  <c r="G9" i="17" s="1"/>
  <c r="I9" i="17" s="1"/>
  <c r="D8" i="17"/>
  <c r="G8" i="17" s="1"/>
  <c r="I8" i="17" s="1"/>
  <c r="C9" i="17"/>
  <c r="H9" i="17" s="1"/>
  <c r="C10" i="17"/>
  <c r="H10" i="17" s="1"/>
  <c r="D10" i="17"/>
  <c r="G10" i="17" s="1"/>
  <c r="J11" i="17"/>
  <c r="L11" i="17" s="1"/>
  <c r="L12" i="17"/>
  <c r="N12" i="17" s="1"/>
  <c r="O12" i="17" s="1"/>
  <c r="L2" i="17"/>
  <c r="M2" i="17" s="1"/>
  <c r="L6" i="17"/>
  <c r="L5" i="17"/>
  <c r="D4" i="17"/>
  <c r="G4" i="17" s="1"/>
  <c r="I4" i="17" s="1"/>
  <c r="C4" i="17"/>
  <c r="H4" i="17" s="1"/>
  <c r="D7" i="17"/>
  <c r="G7" i="17" s="1"/>
  <c r="I7" i="17" s="1"/>
  <c r="C7" i="17"/>
  <c r="H7" i="17" s="1"/>
  <c r="D3" i="17"/>
  <c r="G3" i="17" s="1"/>
  <c r="I3" i="17" s="1"/>
  <c r="C3" i="17"/>
  <c r="H3" i="17" s="1"/>
  <c r="N22" i="12"/>
  <c r="J9" i="17" l="1"/>
  <c r="L9" i="17" s="1"/>
  <c r="J8" i="17"/>
  <c r="L8" i="17" s="1"/>
  <c r="M8" i="17" s="1"/>
  <c r="N8" i="17" s="1"/>
  <c r="O8" i="17" s="1"/>
  <c r="I10" i="17"/>
  <c r="J10" i="17" s="1"/>
  <c r="L10" i="17" s="1"/>
  <c r="M5" i="17"/>
  <c r="N5" i="17" s="1"/>
  <c r="O5" i="17" s="1"/>
  <c r="M6" i="17"/>
  <c r="N6" i="17" s="1"/>
  <c r="O6" i="17" s="1"/>
  <c r="N11" i="17"/>
  <c r="O11" i="17" s="1"/>
  <c r="N2" i="17"/>
  <c r="O2" i="17" s="1"/>
  <c r="J3" i="17"/>
  <c r="J4" i="17"/>
  <c r="J7" i="17"/>
  <c r="N21" i="12"/>
  <c r="I19" i="12"/>
  <c r="H19" i="12"/>
  <c r="I18" i="12"/>
  <c r="H18" i="12"/>
  <c r="M10" i="17" l="1"/>
  <c r="N10" i="17" s="1"/>
  <c r="O10" i="17" s="1"/>
  <c r="M9" i="17"/>
  <c r="N9" i="17" s="1"/>
  <c r="O9" i="17" s="1"/>
  <c r="L7" i="17"/>
  <c r="M7" i="17" s="1"/>
  <c r="L4" i="17"/>
  <c r="L3" i="17"/>
  <c r="J18" i="12"/>
  <c r="K18" i="12" s="1"/>
  <c r="D32" i="12"/>
  <c r="N25" i="12"/>
  <c r="D26" i="12"/>
  <c r="D27" i="12"/>
  <c r="D28" i="12"/>
  <c r="D29" i="12"/>
  <c r="D30" i="12"/>
  <c r="D31" i="12"/>
  <c r="J19" i="12"/>
  <c r="K19" i="12" s="1"/>
  <c r="J2" i="12"/>
  <c r="J3" i="12"/>
  <c r="J4" i="12"/>
  <c r="K4" i="12" s="1"/>
  <c r="J5" i="12"/>
  <c r="K5" i="12" s="1"/>
  <c r="J6" i="12"/>
  <c r="K6" i="12" s="1"/>
  <c r="J7" i="12"/>
  <c r="K7" i="12" s="1"/>
  <c r="J8" i="12"/>
  <c r="K8" i="12" s="1"/>
  <c r="J9" i="12"/>
  <c r="J10" i="12"/>
  <c r="J11" i="12"/>
  <c r="K11" i="12" s="1"/>
  <c r="J12" i="12"/>
  <c r="K12" i="12" s="1"/>
  <c r="J13" i="12"/>
  <c r="K13" i="12" s="1"/>
  <c r="J14" i="12"/>
  <c r="K14" i="12" s="1"/>
  <c r="J15" i="12"/>
  <c r="K15" i="12" s="1"/>
  <c r="J16" i="12"/>
  <c r="J17" i="12"/>
  <c r="H2" i="11"/>
  <c r="I2" i="11" s="1"/>
  <c r="H3" i="11"/>
  <c r="H4" i="11"/>
  <c r="H5" i="11"/>
  <c r="I5" i="11" s="1"/>
  <c r="H6" i="11"/>
  <c r="I6" i="11" s="1"/>
  <c r="H7" i="11"/>
  <c r="I7" i="11" s="1"/>
  <c r="H8" i="11"/>
  <c r="I8" i="11" s="1"/>
  <c r="H9" i="11"/>
  <c r="I9" i="11" s="1"/>
  <c r="H10" i="11"/>
  <c r="H11" i="11"/>
  <c r="H12" i="11"/>
  <c r="I12" i="11" s="1"/>
  <c r="H13" i="11"/>
  <c r="I13" i="11" s="1"/>
  <c r="H14" i="11"/>
  <c r="I14" i="11" s="1"/>
  <c r="H15" i="11"/>
  <c r="I15" i="11" s="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I6" i="12"/>
  <c r="I7" i="12"/>
  <c r="I8" i="12"/>
  <c r="I12" i="12"/>
  <c r="I13" i="12"/>
  <c r="I14" i="12"/>
  <c r="I15" i="12"/>
  <c r="I5" i="12"/>
  <c r="H5" i="12"/>
  <c r="H6" i="12"/>
  <c r="H7" i="12"/>
  <c r="H8" i="12"/>
  <c r="H12" i="12"/>
  <c r="H13" i="12"/>
  <c r="H14" i="12"/>
  <c r="H15" i="12"/>
  <c r="A2" i="12"/>
  <c r="B2" i="12" s="1"/>
  <c r="A3" i="12"/>
  <c r="B3" i="12" s="1"/>
  <c r="A4" i="12"/>
  <c r="B4" i="12" s="1"/>
  <c r="A5" i="12"/>
  <c r="B5" i="12" s="1"/>
  <c r="A6" i="12"/>
  <c r="B6" i="12" s="1"/>
  <c r="A7" i="12"/>
  <c r="B7" i="12" s="1"/>
  <c r="A8" i="12"/>
  <c r="B8" i="12" s="1"/>
  <c r="A9" i="12"/>
  <c r="B9" i="12" s="1"/>
  <c r="A10" i="12"/>
  <c r="B10" i="12" s="1"/>
  <c r="A11" i="12"/>
  <c r="B11" i="12" s="1"/>
  <c r="A12" i="12"/>
  <c r="B12" i="12" s="1"/>
  <c r="A13" i="12"/>
  <c r="B13" i="12" s="1"/>
  <c r="A14" i="12"/>
  <c r="B14" i="12" s="1"/>
  <c r="A15" i="12"/>
  <c r="B15" i="12" s="1"/>
  <c r="A16" i="12"/>
  <c r="B16" i="12" s="1"/>
  <c r="A17" i="12"/>
  <c r="B17" i="12" s="1"/>
  <c r="A18" i="12"/>
  <c r="B18" i="12" s="1"/>
  <c r="A19" i="12"/>
  <c r="B19" i="12" s="1"/>
  <c r="A20" i="12"/>
  <c r="B20" i="12" s="1"/>
  <c r="A21" i="12"/>
  <c r="B21" i="12" s="1"/>
  <c r="A22" i="12"/>
  <c r="B22" i="12" s="1"/>
  <c r="A23" i="12"/>
  <c r="B23" i="12" s="1"/>
  <c r="A24" i="12"/>
  <c r="B24" i="12" s="1"/>
  <c r="A25" i="12"/>
  <c r="B25" i="12" s="1"/>
  <c r="A26" i="12"/>
  <c r="B26" i="12" s="1"/>
  <c r="A27" i="12"/>
  <c r="B27" i="12" s="1"/>
  <c r="A28" i="12"/>
  <c r="B28" i="12" s="1"/>
  <c r="A29" i="12"/>
  <c r="B29" i="12" s="1"/>
  <c r="A30" i="12"/>
  <c r="B30" i="12" s="1"/>
  <c r="A31" i="12"/>
  <c r="B31" i="12" s="1"/>
  <c r="A32" i="12"/>
  <c r="B32" i="12" s="1"/>
  <c r="N7" i="17" l="1"/>
  <c r="O7" i="17" s="1"/>
  <c r="M4" i="17"/>
  <c r="N4" i="17" s="1"/>
  <c r="O4" i="17" s="1"/>
  <c r="M3" i="17"/>
  <c r="N3" i="17" s="1"/>
  <c r="O3" i="17" s="1"/>
  <c r="A2" i="11"/>
  <c r="A3" i="11"/>
  <c r="B3" i="11" s="1"/>
  <c r="A4" i="11"/>
  <c r="B4" i="11" s="1"/>
  <c r="A5" i="11"/>
  <c r="B5" i="11" s="1"/>
  <c r="A6" i="11"/>
  <c r="A7" i="11"/>
  <c r="B7" i="11" s="1"/>
  <c r="A8" i="11"/>
  <c r="B8" i="11" s="1"/>
  <c r="A9" i="11"/>
  <c r="B9" i="11" s="1"/>
  <c r="A10" i="11"/>
  <c r="A11" i="11"/>
  <c r="B11" i="11" s="1"/>
  <c r="A12" i="11"/>
  <c r="B12" i="11" s="1"/>
  <c r="A13" i="11"/>
  <c r="B13" i="11" s="1"/>
  <c r="A14" i="11"/>
  <c r="A15" i="11"/>
  <c r="B15" i="11" s="1"/>
  <c r="A16" i="11"/>
  <c r="B16" i="11" s="1"/>
  <c r="A17" i="11"/>
  <c r="B17" i="11" s="1"/>
  <c r="A18" i="11"/>
  <c r="A19" i="11"/>
  <c r="B19" i="11" s="1"/>
  <c r="A20" i="11"/>
  <c r="B20" i="11" s="1"/>
  <c r="A21" i="11"/>
  <c r="B21" i="11" s="1"/>
  <c r="A22" i="11"/>
  <c r="A23" i="11"/>
  <c r="B23" i="11" s="1"/>
  <c r="A24" i="11"/>
  <c r="B24" i="11" s="1"/>
  <c r="A25" i="11"/>
  <c r="B25" i="11" s="1"/>
  <c r="A26" i="11"/>
  <c r="A27" i="11"/>
  <c r="B27" i="11" s="1"/>
  <c r="A28" i="11"/>
  <c r="B28" i="11" s="1"/>
  <c r="A29" i="11"/>
  <c r="B29" i="11" s="1"/>
  <c r="A30" i="11"/>
  <c r="A31" i="11"/>
  <c r="B31" i="11" s="1"/>
  <c r="A32" i="11"/>
  <c r="B32" i="11" s="1"/>
  <c r="B30" i="11"/>
  <c r="B26" i="11"/>
  <c r="B22" i="11"/>
  <c r="B18" i="11"/>
  <c r="B14" i="11"/>
  <c r="B10" i="11"/>
  <c r="B6" i="11"/>
  <c r="B2" i="11"/>
  <c r="A32" i="10" l="1"/>
  <c r="B32" i="10"/>
  <c r="A2" i="10"/>
  <c r="A3" i="10"/>
  <c r="A4" i="10"/>
  <c r="A5" i="10"/>
  <c r="A6" i="10"/>
  <c r="A7" i="10"/>
  <c r="A8" i="10"/>
  <c r="A9" i="10"/>
  <c r="A10" i="10"/>
  <c r="A11" i="10"/>
  <c r="A12" i="10"/>
  <c r="A13" i="10"/>
  <c r="A14" i="10"/>
  <c r="B14" i="10" s="1"/>
  <c r="A15" i="10"/>
  <c r="A16" i="10"/>
  <c r="A17" i="10"/>
  <c r="A18" i="10"/>
  <c r="B18" i="10" s="1"/>
  <c r="A19" i="10"/>
  <c r="A20" i="10"/>
  <c r="A21" i="10"/>
  <c r="A22" i="10"/>
  <c r="B22" i="10" s="1"/>
  <c r="A23" i="10"/>
  <c r="A24" i="10"/>
  <c r="A25" i="10"/>
  <c r="A26" i="10"/>
  <c r="B26" i="10" s="1"/>
  <c r="A27" i="10"/>
  <c r="A28" i="10"/>
  <c r="A29" i="10"/>
  <c r="A30" i="10"/>
  <c r="B30" i="10" s="1"/>
  <c r="A31" i="10"/>
  <c r="B31" i="10" s="1"/>
  <c r="B29" i="10"/>
  <c r="B28" i="10"/>
  <c r="B27" i="10"/>
  <c r="B25" i="10"/>
  <c r="B24" i="10"/>
  <c r="B23" i="10"/>
  <c r="B21" i="10"/>
  <c r="B20" i="10"/>
  <c r="B19" i="10"/>
  <c r="B17" i="10"/>
  <c r="B16" i="10"/>
  <c r="B15" i="10"/>
  <c r="B13" i="10"/>
  <c r="B12" i="10"/>
  <c r="B11" i="10"/>
  <c r="B10" i="10"/>
  <c r="B9" i="10"/>
  <c r="B8" i="10"/>
  <c r="B7" i="10"/>
  <c r="B6" i="10"/>
  <c r="B5" i="10"/>
  <c r="B4" i="10"/>
  <c r="B3" i="10"/>
  <c r="B2" i="10"/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2" i="9" l="1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2" i="7" l="1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2" i="5" l="1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A2" i="9" l="1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2" i="8" l="1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2" i="7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2" i="7"/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2" i="1"/>
  <c r="A3" i="6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2" i="6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2" i="5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2" i="4"/>
  <c r="A3" i="3"/>
  <c r="B3" i="3" s="1"/>
  <c r="A4" i="3"/>
  <c r="B4" i="3" s="1"/>
  <c r="A5" i="3"/>
  <c r="B5" i="3" s="1"/>
  <c r="A6" i="3"/>
  <c r="B6" i="3" s="1"/>
  <c r="A7" i="3"/>
  <c r="B7" i="3" s="1"/>
  <c r="A8" i="3"/>
  <c r="B8" i="3" s="1"/>
  <c r="A9" i="3"/>
  <c r="B9" i="3" s="1"/>
  <c r="A10" i="3"/>
  <c r="B10" i="3" s="1"/>
  <c r="A11" i="3"/>
  <c r="B11" i="3" s="1"/>
  <c r="A12" i="3"/>
  <c r="B12" i="3" s="1"/>
  <c r="A13" i="3"/>
  <c r="B13" i="3" s="1"/>
  <c r="A14" i="3"/>
  <c r="B14" i="3" s="1"/>
  <c r="A15" i="3"/>
  <c r="B15" i="3" s="1"/>
  <c r="A16" i="3"/>
  <c r="B16" i="3" s="1"/>
  <c r="A17" i="3"/>
  <c r="B17" i="3" s="1"/>
  <c r="A18" i="3"/>
  <c r="B18" i="3" s="1"/>
  <c r="A19" i="3"/>
  <c r="B19" i="3" s="1"/>
  <c r="A20" i="3"/>
  <c r="B20" i="3" s="1"/>
  <c r="A21" i="3"/>
  <c r="B21" i="3" s="1"/>
  <c r="A22" i="3"/>
  <c r="B22" i="3" s="1"/>
  <c r="A23" i="3"/>
  <c r="B23" i="3" s="1"/>
  <c r="A24" i="3"/>
  <c r="B24" i="3" s="1"/>
  <c r="A25" i="3"/>
  <c r="B25" i="3" s="1"/>
  <c r="A26" i="3"/>
  <c r="B26" i="3" s="1"/>
  <c r="A27" i="3"/>
  <c r="B27" i="3" s="1"/>
  <c r="A28" i="3"/>
  <c r="B28" i="3" s="1"/>
  <c r="A29" i="3"/>
  <c r="B29" i="3" s="1"/>
  <c r="A30" i="3"/>
  <c r="B30" i="3" s="1"/>
  <c r="A31" i="3"/>
  <c r="B31" i="3" s="1"/>
  <c r="A2" i="3"/>
  <c r="B2" i="3" s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2" i="2"/>
  <c r="N24" i="12" l="1"/>
  <c r="N23" i="12"/>
  <c r="C28" i="12"/>
  <c r="N28" i="12" s="1"/>
  <c r="C30" i="12"/>
  <c r="N30" i="12" s="1"/>
  <c r="C32" i="12"/>
  <c r="N32" i="12"/>
  <c r="C29" i="12"/>
  <c r="N29" i="12" s="1"/>
  <c r="C27" i="12"/>
  <c r="N27" i="12"/>
  <c r="C26" i="12"/>
  <c r="N26" i="12" s="1"/>
  <c r="C31" i="12"/>
  <c r="N31" i="12" s="1"/>
</calcChain>
</file>

<file path=xl/sharedStrings.xml><?xml version="1.0" encoding="utf-8"?>
<sst xmlns="http://schemas.openxmlformats.org/spreadsheetml/2006/main" count="455" uniqueCount="81">
  <si>
    <t>פניות כתובות נפתחו</t>
  </si>
  <si>
    <t>שיחות נכנסות</t>
  </si>
  <si>
    <t>תאריך</t>
  </si>
  <si>
    <t>הערות</t>
  </si>
  <si>
    <t>שכר</t>
  </si>
  <si>
    <t>חופש</t>
  </si>
  <si>
    <t>נוכחות</t>
  </si>
  <si>
    <t>מספר נציגים</t>
  </si>
  <si>
    <t>שיחות ללא כפילויות</t>
  </si>
  <si>
    <t>פיק</t>
  </si>
  <si>
    <t>יום</t>
  </si>
  <si>
    <t>תלוש</t>
  </si>
  <si>
    <t>ט באב</t>
  </si>
  <si>
    <t>מגמה פניות</t>
  </si>
  <si>
    <t>מגמה שיחות</t>
  </si>
  <si>
    <t>עזר</t>
  </si>
  <si>
    <t>אחוז</t>
  </si>
  <si>
    <t>חזרה ללימודים</t>
  </si>
  <si>
    <t>נציגים צפויים</t>
  </si>
  <si>
    <t>מספר שעות</t>
  </si>
  <si>
    <t>כדי להגיע ליעד</t>
  </si>
  <si>
    <t>חיזוי קודם פניות</t>
  </si>
  <si>
    <t>חיזוי קודם שיחות</t>
  </si>
  <si>
    <t>פער חיזוי פניות</t>
  </si>
  <si>
    <t>פער חיזוי שיחות</t>
  </si>
  <si>
    <t>נציג</t>
  </si>
  <si>
    <t>זמן שיחה+החזק</t>
  </si>
  <si>
    <t>עמידה בשעות</t>
  </si>
  <si>
    <t>שיחות לשעה גולמי</t>
  </si>
  <si>
    <t>תמר</t>
  </si>
  <si>
    <t>דינה</t>
  </si>
  <si>
    <t>משה</t>
  </si>
  <si>
    <t>רועי</t>
  </si>
  <si>
    <t>מיכל</t>
  </si>
  <si>
    <t>דוד</t>
  </si>
  <si>
    <t>אבי</t>
  </si>
  <si>
    <t>נוי</t>
  </si>
  <si>
    <t>נטלי</t>
  </si>
  <si>
    <t>מירב</t>
  </si>
  <si>
    <t>תחילת לימודים</t>
  </si>
  <si>
    <t>תחזית שיחות ללא כפילות</t>
  </si>
  <si>
    <t>שיחות</t>
  </si>
  <si>
    <t>פניות</t>
  </si>
  <si>
    <t>חוזרות</t>
  </si>
  <si>
    <t>רגיל</t>
  </si>
  <si>
    <t>חריג</t>
  </si>
  <si>
    <t>תחזית פניות</t>
  </si>
  <si>
    <t>תחזית כפילויות</t>
  </si>
  <si>
    <t>סהכ תחזית שיחות</t>
  </si>
  <si>
    <t>כמות שיחות שיוכלו לענות הנציגים</t>
  </si>
  <si>
    <t>הפרש</t>
  </si>
  <si>
    <t>חיזוי שיחות סופי</t>
  </si>
  <si>
    <t>31.8 חריג</t>
  </si>
  <si>
    <t>אחוז מענה דרוש-הכפלה ב0.96</t>
  </si>
  <si>
    <t>כמות שעות נציג נדרשת עבור 96% מענה</t>
  </si>
  <si>
    <t>כמות שעות נציג צפויה</t>
  </si>
  <si>
    <t>כמות אינטראקציות נדרשות עבור פריון 8</t>
  </si>
  <si>
    <t>ממוצע שיחות ליום</t>
  </si>
  <si>
    <t>ממוצע שיחות ללא משה ותמר</t>
  </si>
  <si>
    <t>פניות חריגה 1.9</t>
  </si>
  <si>
    <t>כפילות ספט</t>
  </si>
  <si>
    <t>תקשור היעדרות מלחמה</t>
  </si>
  <si>
    <t>ערב חג (ללא שיחות)</t>
  </si>
  <si>
    <t>ראש השנה(חזרה)</t>
  </si>
  <si>
    <t>חזרה מחופש ראש השנה</t>
  </si>
  <si>
    <t>שכר,תלוש?</t>
  </si>
  <si>
    <t>מגמת שיחות ספט</t>
  </si>
  <si>
    <t>מגמת פניות ספט</t>
  </si>
  <si>
    <t>פניות נתון אמת</t>
  </si>
  <si>
    <t>שיחות נתון אמת</t>
  </si>
  <si>
    <t>יום שלישי</t>
  </si>
  <si>
    <t>יום רביעי</t>
  </si>
  <si>
    <t>יום חמישי</t>
  </si>
  <si>
    <t>יום שישי</t>
  </si>
  <si>
    <t>שבת</t>
  </si>
  <si>
    <t>יום ראשון</t>
  </si>
  <si>
    <t>יום שני</t>
  </si>
  <si>
    <t>סטייה פניות</t>
  </si>
  <si>
    <t>סטייה שיחות</t>
  </si>
  <si>
    <t>אחוז סטייה כולל של שיחות:</t>
  </si>
  <si>
    <t>אחוז סטייה כולל של  פניות: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</si>
</sst>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sz val="11"/>
      <name val="Arial"/>
      <family val="2"/>
      <charset val="177"/>
      <scheme val="minor"/>
    </font>
    <font>
      <sz val="11"/>
      <color rgb="FFC00000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theme="8" tint="-0.24997711111789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0" tint="-0.249977111117893"/>
      <name val="Arial"/>
      <family val="2"/>
      <charset val="177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EB9C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6" fillId="11" borderId="0" applyNumberFormat="0" applyBorder="0" applyAlignment="0" applyProtection="0"/>
  </cellStyleXfs>
  <cellXfs count="59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  <xf numFmtId="14" fontId="2" fillId="0" borderId="0" xfId="0" applyNumberFormat="1" applyFont="1"/>
    <xf numFmtId="0" fontId="2" fillId="0" borderId="0" xfId="0" applyFont="1"/>
    <xf numFmtId="14" fontId="3" fillId="0" borderId="0" xfId="0" applyNumberFormat="1" applyFont="1"/>
    <xf numFmtId="0" fontId="3" fillId="0" borderId="0" xfId="0" applyFont="1"/>
    <xf numFmtId="10" fontId="0" fillId="0" borderId="0" xfId="0" applyNumberFormat="1"/>
    <xf numFmtId="0" fontId="0" fillId="2" borderId="0" xfId="0" applyFill="1"/>
    <xf numFmtId="14" fontId="0" fillId="0" borderId="1" xfId="0" applyNumberFormat="1" applyBorder="1"/>
    <xf numFmtId="0" fontId="0" fillId="0" borderId="1" xfId="0" applyBorder="1"/>
    <xf numFmtId="2" fontId="0" fillId="0" borderId="0" xfId="0" applyNumberFormat="1"/>
    <xf numFmtId="0" fontId="0" fillId="3" borderId="0" xfId="0" applyFill="1"/>
    <xf numFmtId="2" fontId="0" fillId="3" borderId="0" xfId="0" applyNumberFormat="1" applyFill="1"/>
    <xf numFmtId="1" fontId="0" fillId="2" borderId="0" xfId="0" applyNumberFormat="1" applyFill="1"/>
    <xf numFmtId="0" fontId="0" fillId="0" borderId="2" xfId="0" applyBorder="1"/>
    <xf numFmtId="21" fontId="0" fillId="0" borderId="2" xfId="0" applyNumberFormat="1" applyBorder="1"/>
    <xf numFmtId="9" fontId="0" fillId="0" borderId="2" xfId="0" applyNumberFormat="1" applyBorder="1"/>
    <xf numFmtId="0" fontId="4" fillId="4" borderId="2" xfId="1" applyBorder="1"/>
    <xf numFmtId="1" fontId="0" fillId="0" borderId="0" xfId="0" applyNumberFormat="1"/>
    <xf numFmtId="1" fontId="0" fillId="5" borderId="0" xfId="0" applyNumberFormat="1" applyFill="1"/>
    <xf numFmtId="0" fontId="0" fillId="6" borderId="0" xfId="0" applyFill="1"/>
    <xf numFmtId="0" fontId="1" fillId="3" borderId="0" xfId="0" applyFont="1" applyFill="1"/>
    <xf numFmtId="1" fontId="0" fillId="7" borderId="0" xfId="0" applyNumberFormat="1" applyFill="1"/>
    <xf numFmtId="0" fontId="0" fillId="8" borderId="0" xfId="0" applyFill="1"/>
    <xf numFmtId="1" fontId="0" fillId="0" borderId="1" xfId="0" applyNumberFormat="1" applyBorder="1"/>
    <xf numFmtId="1" fontId="0" fillId="5" borderId="1" xfId="0" applyNumberFormat="1" applyFill="1" applyBorder="1"/>
    <xf numFmtId="1" fontId="0" fillId="7" borderId="1" xfId="0" applyNumberFormat="1" applyFill="1" applyBorder="1"/>
    <xf numFmtId="0" fontId="1" fillId="3" borderId="1" xfId="0" applyFont="1" applyFill="1" applyBorder="1"/>
    <xf numFmtId="0" fontId="0" fillId="8" borderId="1" xfId="0" applyFill="1" applyBorder="1"/>
    <xf numFmtId="0" fontId="0" fillId="6" borderId="1" xfId="0" applyFill="1" applyBorder="1"/>
    <xf numFmtId="14" fontId="5" fillId="0" borderId="0" xfId="0" applyNumberFormat="1" applyFont="1"/>
    <xf numFmtId="0" fontId="0" fillId="9" borderId="0" xfId="0" applyFill="1"/>
    <xf numFmtId="0" fontId="0" fillId="10" borderId="0" xfId="0" applyFill="1"/>
    <xf numFmtId="0" fontId="7" fillId="2" borderId="0" xfId="0" applyFont="1" applyFill="1"/>
    <xf numFmtId="0" fontId="0" fillId="0" borderId="2" xfId="0" applyBorder="1" applyAlignment="1">
      <alignment horizontal="center"/>
    </xf>
    <xf numFmtId="0" fontId="7" fillId="0" borderId="2" xfId="0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7" fillId="12" borderId="2" xfId="0" applyFont="1" applyFill="1" applyBorder="1" applyAlignment="1">
      <alignment horizontal="center"/>
    </xf>
    <xf numFmtId="0" fontId="7" fillId="13" borderId="2" xfId="0" applyFont="1" applyFill="1" applyBorder="1" applyAlignment="1">
      <alignment horizontal="center"/>
    </xf>
    <xf numFmtId="0" fontId="0" fillId="13" borderId="2" xfId="0" applyFill="1" applyBorder="1" applyAlignment="1">
      <alignment horizontal="center"/>
    </xf>
    <xf numFmtId="0" fontId="7" fillId="12" borderId="3" xfId="0" applyFont="1" applyFill="1" applyBorder="1" applyAlignment="1">
      <alignment horizontal="center"/>
    </xf>
    <xf numFmtId="0" fontId="7" fillId="13" borderId="4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7" fillId="14" borderId="5" xfId="0" applyFont="1" applyFill="1" applyBorder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7" xfId="0" applyFill="1" applyBorder="1" applyAlignment="1">
      <alignment horizontal="center"/>
    </xf>
    <xf numFmtId="1" fontId="0" fillId="12" borderId="2" xfId="0" applyNumberFormat="1" applyFill="1" applyBorder="1" applyAlignment="1">
      <alignment horizontal="center"/>
    </xf>
    <xf numFmtId="1" fontId="0" fillId="12" borderId="3" xfId="0" applyNumberFormat="1" applyFill="1" applyBorder="1" applyAlignment="1">
      <alignment horizontal="center"/>
    </xf>
    <xf numFmtId="0" fontId="7" fillId="15" borderId="2" xfId="0" applyFont="1" applyFill="1" applyBorder="1" applyAlignment="1">
      <alignment horizontal="center"/>
    </xf>
    <xf numFmtId="10" fontId="0" fillId="15" borderId="2" xfId="0" applyNumberFormat="1" applyFill="1" applyBorder="1"/>
    <xf numFmtId="10" fontId="6" fillId="11" borderId="2" xfId="2" applyNumberFormat="1" applyBorder="1"/>
    <xf numFmtId="10" fontId="0" fillId="16" borderId="2" xfId="0" applyNumberFormat="1" applyFill="1" applyBorder="1"/>
    <xf numFmtId="10" fontId="8" fillId="15" borderId="2" xfId="0" applyNumberFormat="1" applyFont="1" applyFill="1" applyBorder="1"/>
    <xf numFmtId="10" fontId="8" fillId="16" borderId="2" xfId="0" applyNumberFormat="1" applyFont="1" applyFill="1" applyBorder="1"/>
    <xf numFmtId="0" fontId="7" fillId="16" borderId="2" xfId="0" applyFont="1" applyFill="1" applyBorder="1"/>
    <xf numFmtId="10" fontId="7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/>
    </xf>
  </cellXfs>
  <cellStyles count="3">
    <cellStyle name="Good" xfId="2" builtinId="26"/>
    <cellStyle name="Neutral" xfId="1" builtinId="28"/>
    <cellStyle name="Normal" xfId="0" builtinId="0"/>
  </cellStyles>
  <dxfs count="7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  <fill>
        <patternFill patternType="none">
          <fgColor indexed="64"/>
          <bgColor auto="1"/>
        </patternFill>
      </fill>
    </dxf>
    <dxf>
      <numFmt numFmtId="1" formatCode="0"/>
      <fill>
        <patternFill patternType="none">
          <fgColor indexed="64"/>
          <bgColor auto="1"/>
        </patternFill>
      </fill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0" formatCode="General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164" formatCode="dd/mm/yyyy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  <dxf>
      <numFmt numFmtId="164" formatCode="dd/mm/yyyy"/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4CD3EC-5395-4846-A2AA-1978A21A1354}" name="Apr_24" displayName="Apr_24" ref="A1:H31" totalsRowShown="0">
  <autoFilter ref="A1:H31" xr:uid="{3FA54524-47B5-425F-B3F3-C47183A9EEF2}"/>
  <tableColumns count="8">
    <tableColumn id="1" xr3:uid="{2132AD83-36B5-452B-B0B8-4351A2EF2267}" name="תאריך" dataDxfId="64">
      <calculatedColumnFormula>DATE(2024,4,1) + ROW(A1) - 1</calculatedColumnFormula>
    </tableColumn>
    <tableColumn id="6" xr3:uid="{EF212AA3-3AB8-48D7-9776-ED90292D84F6}" name="יום" dataDxfId="63">
      <calculatedColumnFormula>TEXT(A2,"dddd")</calculatedColumnFormula>
    </tableColumn>
    <tableColumn id="2" xr3:uid="{0B5D36AB-4AB7-4B9B-9003-CF2BDE45D6F7}" name="פניות כתובות נפתחו"/>
    <tableColumn id="3" xr3:uid="{ED362C0F-9B27-4816-A1FC-5C91361F0200}" name="שיחות נכנסות"/>
    <tableColumn id="4" xr3:uid="{40375A83-3E2C-4759-B4D6-2FA25F966719}" name="הערות"/>
    <tableColumn id="5" xr3:uid="{88F3F5EC-1BF4-40C8-BDC9-A0FFF8384BE3}" name="מספר נציגים"/>
    <tableColumn id="7" xr3:uid="{1B14EA41-AE26-4494-A2D5-023C05A24878}" name="שיחות ללא כפילויות"/>
    <tableColumn id="8" xr3:uid="{2B6438C1-7B33-4C60-99A4-00544EB0D951}" name="פיק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E50C457-B33E-4CD6-84E3-988A14AD2DE3}" name="May_249" displayName="May_249" ref="A1:H32" totalsRowShown="0">
  <autoFilter ref="A1:H32" xr:uid="{9A8CA6B3-F258-460C-B5DA-5126618DF36C}"/>
  <tableColumns count="8">
    <tableColumn id="1" xr3:uid="{F8D58E92-C35A-4974-8C8E-01518CE45ADC}" name="תאריך" dataDxfId="62">
      <calculatedColumnFormula>DATE(2024,5,1) + ROW(A1) - 1</calculatedColumnFormula>
    </tableColumn>
    <tableColumn id="6" xr3:uid="{754649D3-421F-425F-9D17-7ABB7EB4B82B}" name="יום" dataDxfId="61">
      <calculatedColumnFormula>TEXT(A2,"dddd")</calculatedColumnFormula>
    </tableColumn>
    <tableColumn id="2" xr3:uid="{ABD522B1-6582-45FB-BB14-503DBE2BD22A}" name="פניות כתובות נפתחו"/>
    <tableColumn id="3" xr3:uid="{62A0A10A-B12F-4A36-B5A7-F4E8EF755195}" name="שיחות נכנסות"/>
    <tableColumn id="4" xr3:uid="{882DAD9D-5947-4693-922A-C222C6FBA9F1}" name="הערות"/>
    <tableColumn id="5" xr3:uid="{05207FBD-5467-4569-9CFD-8651A9D7519F}" name="מספר נציגים"/>
    <tableColumn id="7" xr3:uid="{6131FA4D-F5A1-4CE8-98EB-DA0115CD6670}" name="שיחות ללא כפילויות"/>
    <tableColumn id="8" xr3:uid="{080E302C-361F-4A55-B4FB-9F9F22348E68}" name="פיק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BF6E59C-40C8-4757-BC91-12DD3C24A3E8}" name="Jun_2411" displayName="Jun_2411" ref="A1:H31" totalsRowShown="0">
  <autoFilter ref="A1:H31" xr:uid="{75529C44-D81D-4309-8643-EB4233662EDF}"/>
  <tableColumns count="8">
    <tableColumn id="1" xr3:uid="{1C144203-3B86-4A15-BE5C-12D27A52A9E8}" name="תאריך" dataDxfId="60">
      <calculatedColumnFormula>DATE(2024,6,1) + ROW(A1) - 1</calculatedColumnFormula>
    </tableColumn>
    <tableColumn id="6" xr3:uid="{3FDF1133-8A7E-420C-9389-A14833DFCE5C}" name="יום" dataDxfId="59">
      <calculatedColumnFormula>TEXT(A2,"dddd")</calculatedColumnFormula>
    </tableColumn>
    <tableColumn id="2" xr3:uid="{DCC4128D-288E-4161-86C9-049439579854}" name="פניות כתובות נפתחו"/>
    <tableColumn id="3" xr3:uid="{8808F321-7675-4E12-8DF5-BE561E40682E}" name="שיחות נכנסות"/>
    <tableColumn id="4" xr3:uid="{DFE9EDF9-C8EB-451D-8650-F96A27FB891C}" name="הערות"/>
    <tableColumn id="5" xr3:uid="{882058F1-1FE6-4BF9-83CE-A05B7A2B425C}" name="מספר נציגים"/>
    <tableColumn id="7" xr3:uid="{3FE8DF46-57A6-46E1-A152-AEAF5DAFD726}" name="שיחות ללא כפילויות"/>
    <tableColumn id="8" xr3:uid="{EED230A2-5D9A-43E9-8A79-FF2534253D2D}" name="פיק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9EDA2E-5A75-4F03-A2D2-DA6CD59C75E8}" name="May_25135" displayName="May_25135" ref="A1:H32" totalsRowShown="0">
  <autoFilter ref="A1:H32" xr:uid="{765EA996-549E-4BB5-A2A3-58060A02DF08}"/>
  <tableColumns count="8">
    <tableColumn id="1" xr3:uid="{60984513-0BBE-44E4-8957-93E69214168B}" name="תאריך" dataDxfId="58">
      <calculatedColumnFormula>DATE(2025,1,1) + ROW(A1) - 1</calculatedColumnFormula>
    </tableColumn>
    <tableColumn id="6" xr3:uid="{26F1962F-8324-49E8-A045-59410AED8E89}" name="יום" dataDxfId="57">
      <calculatedColumnFormula>TEXT(A2,"dddd")</calculatedColumnFormula>
    </tableColumn>
    <tableColumn id="2" xr3:uid="{B0BE9AD7-69D8-40AD-A894-95A7DD3454BC}" name="פניות כתובות נפתחו"/>
    <tableColumn id="3" xr3:uid="{BC727254-7318-4DC4-A723-7FE9F9210286}" name="שיחות נכנסות"/>
    <tableColumn id="4" xr3:uid="{D0448ABA-B576-427B-A07B-C8F2379B39D3}" name="הערות"/>
    <tableColumn id="5" xr3:uid="{DF52B2E0-C59E-4BC3-8A27-17BD396CBD1A}" name="מספר נציגים"/>
    <tableColumn id="7" xr3:uid="{E005FC45-726E-46E8-938B-05CAAFEB0521}" name="שיחות ללא כפילויות"/>
    <tableColumn id="8" xr3:uid="{9C6523CC-FEDE-4955-AAA0-63F088FBE28A}" name="פיק"/>
  </tableColumns>
  <tableStyleInfo name="TableStyleLight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E7F58E1-B2C3-4F1A-A7D4-C1F2DB84AFAE}" name="Jun_25144" displayName="Jun_25144" ref="A1:H29" totalsRowShown="0">
  <autoFilter ref="A1:H29" xr:uid="{59255E99-F8E6-4E6F-9D65-7E94BEA527FD}"/>
  <tableColumns count="8">
    <tableColumn id="1" xr3:uid="{4ED9F97B-647D-486E-8031-BCBCDDFAC7E5}" name="תאריך" dataDxfId="56">
      <calculatedColumnFormula>DATE(2025,2,1) + ROW(A1) - 1</calculatedColumnFormula>
    </tableColumn>
    <tableColumn id="6" xr3:uid="{AF0C71F2-3A8E-4D02-BC32-26F6A3606E52}" name="יום" dataDxfId="55">
      <calculatedColumnFormula>TEXT(A2,"dddd")</calculatedColumnFormula>
    </tableColumn>
    <tableColumn id="2" xr3:uid="{C6650A9C-23E2-42C3-98C2-1CA71AC19940}" name="פניות כתובות נפתחו"/>
    <tableColumn id="3" xr3:uid="{BFDA39DB-C87A-4E40-AEDE-ABB844E94E6D}" name="שיחות נכנסות"/>
    <tableColumn id="4" xr3:uid="{1D9FF8BC-39E4-4995-9A79-48114F4F1F7E}" name="הערות"/>
    <tableColumn id="5" xr3:uid="{587E8F04-93A4-4DEE-A8BC-979390B334A0}" name="מספר נציגים"/>
    <tableColumn id="7" xr3:uid="{5F639A89-6306-4D37-85F6-EE734F341F2B}" name="שיחות ללא כפילויות"/>
    <tableColumn id="8" xr3:uid="{88994CED-B91B-4B19-9B60-8BE893B8482A}" name="פיק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2E073E-9D1B-4DC3-B0E9-64BB49A51AF7}" name="Jun_25142" displayName="Jun_25142" ref="A1:H32" totalsRowShown="0">
  <autoFilter ref="A1:H32" xr:uid="{11FEADC8-5B52-4516-A40E-FF7CE5F1BD61}"/>
  <tableColumns count="8">
    <tableColumn id="1" xr3:uid="{FE22BF3D-7CC4-4FE8-AE79-22A99A7AF6C8}" name="תאריך" dataDxfId="54"/>
    <tableColumn id="6" xr3:uid="{7D804EAD-BFE8-439A-AA1E-62D280C132B9}" name="יום" dataDxfId="53">
      <calculatedColumnFormula>TEXT(A2,"dddd")</calculatedColumnFormula>
    </tableColumn>
    <tableColumn id="2" xr3:uid="{3648E03F-6AD4-4323-8F2D-2360FB017592}" name="פניות כתובות נפתחו"/>
    <tableColumn id="3" xr3:uid="{3F210E8F-CD7E-4127-BA6B-045BF660A98E}" name="שיחות נכנסות"/>
    <tableColumn id="4" xr3:uid="{A6001990-C3CA-4CFE-AEA7-D42C6E83D785}" name="הערות"/>
    <tableColumn id="5" xr3:uid="{E3344D4F-7971-4E24-8D24-2E63C0F95F47}" name="מספר נציגים"/>
    <tableColumn id="7" xr3:uid="{926FE85A-4EAC-462F-B99A-C57E3D47D010}" name="שיחות ללא כפילויות"/>
    <tableColumn id="8" xr3:uid="{B16B7D81-6AE6-4300-AC29-24F8C3F15B1C}" name="פיק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6417079-D27C-4ECF-BD59-965486EE5621}" name="Apr_2512" displayName="Apr_2512" ref="A1:H31" totalsRowShown="0">
  <autoFilter ref="A1:H31" xr:uid="{DE6EB086-476A-4747-BDC9-92A9B4D1ECCF}"/>
  <tableColumns count="8">
    <tableColumn id="1" xr3:uid="{85C50681-6C30-4E8E-A577-B2897AA1CA5B}" name="תאריך" dataDxfId="52">
      <calculatedColumnFormula>DATE(2025,4,1) + ROW(A1) - 1</calculatedColumnFormula>
    </tableColumn>
    <tableColumn id="6" xr3:uid="{6553CEE8-B742-44A0-BA14-386CBFE1D5CE}" name="יום" dataDxfId="51">
      <calculatedColumnFormula>TEXT(A2,"dddd")</calculatedColumnFormula>
    </tableColumn>
    <tableColumn id="2" xr3:uid="{5AF03A03-6416-419F-ACA0-2DC74B95B49D}" name="פניות כתובות נפתחו"/>
    <tableColumn id="3" xr3:uid="{6B78884E-A123-4A92-B6D1-4A524A3B9284}" name="שיחות נכנסות"/>
    <tableColumn id="4" xr3:uid="{3E36BC1C-F59A-4C34-905C-84B49404C89A}" name="הערות"/>
    <tableColumn id="5" xr3:uid="{78E477F7-6EB6-4B53-AD41-0FAE30E10A83}" name="מספר נציגים"/>
    <tableColumn id="7" xr3:uid="{90F1141D-CC19-4F12-857C-ACB997213A5F}" name="שיחות ללא כפילויות"/>
    <tableColumn id="8" xr3:uid="{8C3C6D8E-1BFA-4739-B3A0-07F619FCAFE4}" name="פיק"/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51BFEF4-4809-4A5D-A1AC-47200DA7C98B}" name="May_2513" displayName="May_2513" ref="A1:H32" totalsRowShown="0">
  <autoFilter ref="A1:H32" xr:uid="{A3BA740D-4574-4B9F-82E1-A0E9C6E48174}"/>
  <tableColumns count="8">
    <tableColumn id="1" xr3:uid="{76BA751B-B37F-4D43-9E29-4D106F59A877}" name="תאריך" dataDxfId="50">
      <calculatedColumnFormula>DATE(2025,5,1) + ROW(A1) - 1</calculatedColumnFormula>
    </tableColumn>
    <tableColumn id="8" xr3:uid="{32DB4BFA-7285-4B25-9E10-2B1D0B42E704}" name="יום" dataDxfId="49">
      <calculatedColumnFormula>TEXT(A2,"dddd")</calculatedColumnFormula>
    </tableColumn>
    <tableColumn id="2" xr3:uid="{B681B940-829D-4611-95DB-ACC1E16EA49A}" name="פניות כתובות נפתחו"/>
    <tableColumn id="3" xr3:uid="{19180683-F25C-442D-B02C-EDF94F0135B3}" name="שיחות נכנסות"/>
    <tableColumn id="4" xr3:uid="{65C021D5-E677-43EE-B62A-44CCA843C5E9}" name="הערות"/>
    <tableColumn id="5" xr3:uid="{5E91AB87-F9CB-4E22-B53B-6C16149C6605}" name="מספר נציגים"/>
    <tableColumn id="6" xr3:uid="{A18F4409-A212-4CA6-B447-E847502C38FF}" name="שיחות ללא כפילויות"/>
    <tableColumn id="7" xr3:uid="{4D06D216-238D-476C-9D34-9E2BA5F399D9}" name="פיק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603BBBB-4472-4FF4-B0EF-6014E1369139}" name="Jun_2514" displayName="Jun_2514" ref="A1:H31" totalsRowShown="0">
  <autoFilter ref="A1:H31" xr:uid="{F2E52B93-DF21-4025-80A5-7E24E42A0AF1}"/>
  <tableColumns count="8">
    <tableColumn id="1" xr3:uid="{D37103B7-53B1-47B7-852A-C1ADB0C6BBAA}" name="תאריך" dataDxfId="48"/>
    <tableColumn id="8" xr3:uid="{50A5B78C-FF57-4E9A-BE25-EADD69632F9B}" name="יום" dataDxfId="47">
      <calculatedColumnFormula>TEXT(A2,"dddd")</calculatedColumnFormula>
    </tableColumn>
    <tableColumn id="2" xr3:uid="{B42AF1D9-4EBA-471F-8304-A004E7AE0F22}" name="פניות כתובות נפתחו"/>
    <tableColumn id="3" xr3:uid="{2B8D4AA8-B877-4BCF-AFBD-9E8D129C9A17}" name="שיחות נכנסות"/>
    <tableColumn id="4" xr3:uid="{FC1D11DC-396E-46C0-991F-198A0FD85EF7}" name="הערות"/>
    <tableColumn id="5" xr3:uid="{40F671ED-71FA-4B9A-8D28-8A9BE0B9FD61}" name="מספר נציגים"/>
    <tableColumn id="6" xr3:uid="{19BFDD29-C0A6-4D78-BCBB-0A1B3B7878D8}" name="שיחות ללא כפילויות"/>
    <tableColumn id="7" xr3:uid="{2E53A6C4-6757-44AF-AFDD-15CEFE788754}" name="פיק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1566A79-87A5-4E83-86C7-348FB0AABFC5}" name="Jun_25146" displayName="Jun_25146" ref="A1:H32" totalsRowShown="0">
  <autoFilter ref="A1:H32" xr:uid="{FA955161-23C6-4291-BB87-AFFD97D94BD9}"/>
  <tableColumns count="8">
    <tableColumn id="1" xr3:uid="{F885EE9B-1D3F-4140-BCEA-8420BB5B284E}" name="תאריך" dataDxfId="46">
      <calculatedColumnFormula>DATE(2025,7,1) + ROW(A1) - 1</calculatedColumnFormula>
    </tableColumn>
    <tableColumn id="8" xr3:uid="{3FD72171-08F7-4E25-AD02-DBC1FDC5BA8D}" name="יום" dataDxfId="45">
      <calculatedColumnFormula>TEXT(A2,"dddd")</calculatedColumnFormula>
    </tableColumn>
    <tableColumn id="2" xr3:uid="{9A55B3A4-44C9-45CF-B454-7E98D7A4F011}" name="פניות כתובות נפתחו"/>
    <tableColumn id="3" xr3:uid="{475403A1-7E04-4E04-801D-1FF9E5E13DF2}" name="שיחות נכנסות"/>
    <tableColumn id="4" xr3:uid="{D1CE49A5-2D77-4E63-A4F5-92EF4037464B}" name="הערות"/>
    <tableColumn id="5" xr3:uid="{ECDDED70-C9F5-4E76-94CD-91775305D60D}" name="מספר נציגים"/>
    <tableColumn id="6" xr3:uid="{46E750DA-87CE-4B46-AAB5-25C96A176A00}" name="שיחות ללא כפילויות"/>
    <tableColumn id="7" xr3:uid="{3C0B74A9-43FF-4BEC-8DB7-27BDDC8E01DA}" name="פיק"/>
  </tableColumns>
  <tableStyleInfo name="TableStyleLight1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6ECB6E-905C-49AF-A950-A1E82747EEEF}" name="Jun_251467" displayName="Jun_251467" ref="A1:I33" totalsRowCount="1">
  <autoFilter ref="A1:I32" xr:uid="{90AE30D8-CE82-487D-B71D-DC84724CCF59}"/>
  <tableColumns count="9">
    <tableColumn id="1" xr3:uid="{B5F3E913-1577-43C2-86B6-6FECA453892A}" name="תאריך" dataDxfId="44" totalsRowDxfId="43">
      <calculatedColumnFormula>DATE(2024,8,1) + ROW(A1) - 1</calculatedColumnFormula>
    </tableColumn>
    <tableColumn id="8" xr3:uid="{C525B560-1D3F-4A2D-BC1F-0922F6EBF612}" name="יום" dataDxfId="42" totalsRowDxfId="41">
      <calculatedColumnFormula>TEXT(A2,"dddd")</calculatedColumnFormula>
    </tableColumn>
    <tableColumn id="2" xr3:uid="{D62FD5D8-5A2D-4000-9F95-7DC1802F7077}" name="פניות כתובות נפתחו"/>
    <tableColumn id="3" xr3:uid="{26B83A09-3ED6-45D4-9FA1-33E8C15BF737}" name="שיחות נכנסות" totalsRowFunction="custom">
      <totalsRowFormula>SUMPRODUCT(D2:D20,I2:I20)/SUM(D2:D20)</totalsRowFormula>
    </tableColumn>
    <tableColumn id="4" xr3:uid="{1A6B3C94-16A3-46B7-8DB0-9D539EDBD3EF}" name="הערות"/>
    <tableColumn id="5" xr3:uid="{ED49BC61-445F-4BB1-A9AC-7DB9C16C3ECC}" name="מספר נציגים"/>
    <tableColumn id="6" xr3:uid="{7184AD86-7DF9-47B5-AA20-AFE3EB36FAF7}" name="שיחות ללא כפילויות"/>
    <tableColumn id="7" xr3:uid="{B583E0CC-2BE5-4032-9403-36FD77C64542}" name="עזר" dataDxfId="40" totalsRowDxfId="39">
      <calculatedColumnFormula>D2-G2</calculatedColumnFormula>
    </tableColumn>
    <tableColumn id="9" xr3:uid="{BE879839-2F3C-4176-87B7-59ED01D6D545}" name="אחוז" dataDxfId="38" totalsRowDxfId="37">
      <calculatedColumnFormula>H2/D2</calculatedColumnFormula>
    </tableColumn>
  </tableColumns>
  <tableStyleInfo name="TableStyleLight1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D1DCE2A-21BB-4315-820D-CB198922B638}" name="Jun_25146717" displayName="Jun_25146717" ref="A1:I32" totalsRowCount="1">
  <autoFilter ref="A1:I31" xr:uid="{2974670A-D7C0-43F7-BA07-E71C44C908F7}"/>
  <tableColumns count="9">
    <tableColumn id="1" xr3:uid="{64314F3E-F650-4201-8E10-FB3A56AB0FEA}" name="תאריך" dataDxfId="36" totalsRowDxfId="35">
      <calculatedColumnFormula>DATE(2024,9,1) + ROW(A1) - 1</calculatedColumnFormula>
    </tableColumn>
    <tableColumn id="8" xr3:uid="{161FA5A5-2443-4B00-BAB0-2E85B3011D1A}" name="יום" dataDxfId="34" totalsRowDxfId="33">
      <calculatedColumnFormula>TEXT(A2,"dddd")</calculatedColumnFormula>
    </tableColumn>
    <tableColumn id="2" xr3:uid="{9B8FC9D8-B318-45FE-92B1-30603C715AED}" name="פניות כתובות נפתחו"/>
    <tableColumn id="3" xr3:uid="{F2EDB382-2FDF-417D-B4A2-4DC9B3C542C4}" name="שיחות נכנסות" totalsRowFunction="custom">
      <totalsRowFormula>SUMPRODUCT(D2:D23,I2:I23)/SUM(D2:D23)</totalsRowFormula>
    </tableColumn>
    <tableColumn id="4" xr3:uid="{63B202A1-53F0-413A-98B4-C1559BE15382}" name="הערות"/>
    <tableColumn id="5" xr3:uid="{5F90EB73-4E2A-4671-A9D1-7D9CFB5A6531}" name="מספר נציגים"/>
    <tableColumn id="6" xr3:uid="{D1F37BCE-6802-49ED-A213-82B9E851FD17}" name="שיחות ללא כפילויות"/>
    <tableColumn id="7" xr3:uid="{96A0ABA6-76BB-4C64-BBAD-D79A3F58DE60}" name="עזר" dataDxfId="32" totalsRowDxfId="31">
      <calculatedColumnFormula>D2-G2</calculatedColumnFormula>
    </tableColumn>
    <tableColumn id="9" xr3:uid="{87DC0E39-1A5B-4EF4-AA68-BD5F685680A0}" name="אחוז" dataDxfId="30" totalsRowDxfId="29">
      <calculatedColumnFormula>H2/D2</calculatedColumnFormula>
    </tableColumn>
  </tableColumns>
  <tableStyleInfo name="TableStyleLight1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7DDFB70-00B0-4057-92E8-E5B0AAEA5C1A}" name="Jun_2514678" displayName="Jun_2514678" ref="A1:G32" totalsRowShown="0">
  <autoFilter ref="A1:G32" xr:uid="{7F77FD7F-D4F7-4951-B183-3EEA0C9022A5}"/>
  <tableColumns count="7">
    <tableColumn id="1" xr3:uid="{FE02AFA0-50C2-4879-B0D2-35F71AEAD79E}" name="תאריך" dataDxfId="28">
      <calculatedColumnFormula>DATE(2025,8,1) + ROW(A1) - 1</calculatedColumnFormula>
    </tableColumn>
    <tableColumn id="8" xr3:uid="{98EF1E33-D55F-43FE-A829-FF5D2E099EE4}" name="יום" dataDxfId="27">
      <calculatedColumnFormula>TEXT(A2,"dddd")</calculatedColumnFormula>
    </tableColumn>
    <tableColumn id="2" xr3:uid="{702170C7-44DE-4102-A2D4-06052CA6589C}" name="פניות כתובות נפתחו"/>
    <tableColumn id="3" xr3:uid="{367614FE-89F5-403F-B8B2-BAAF22D8B534}" name="שיחות נכנסות"/>
    <tableColumn id="4" xr3:uid="{15E89F38-D59B-45DE-8597-4FB22A4BBB72}" name="הערות"/>
    <tableColumn id="5" xr3:uid="{465E9B17-5419-437F-A134-08B41A7DAABE}" name="מספר נציגים"/>
    <tableColumn id="6" xr3:uid="{65D4728D-A064-462C-B08B-57C85B5BAE55}" name="שיחות ללא כפילויות"/>
  </tableColumns>
  <tableStyleInfo name="TableStyleLight1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EC01867-B072-47BC-A1DA-2D884ABC8F59}" name="Table14" displayName="Table14" ref="H1:R33" totalsRowCount="1">
  <autoFilter ref="H1:R32" xr:uid="{C51790A9-66F6-41D2-BFFA-6898CC76CFF9}"/>
  <tableColumns count="11">
    <tableColumn id="2" xr3:uid="{547A6276-F752-4DE9-8518-66839FE5F660}" name="מגמה פניות" totalsRowFunction="custom" dataDxfId="26" totalsRowDxfId="25">
      <calculatedColumnFormula>(C2/'אוגוסט 24'!C2) - 1</calculatedColumnFormula>
      <totalsRowFormula>SUM(C2:C25)/SUM('אוגוסט 24'!C2:C26) - 1</totalsRowFormula>
    </tableColumn>
    <tableColumn id="4" xr3:uid="{4610CAB6-7362-4708-8CD5-7902C8FACFDC}" name="מגמה שיחות" totalsRowFunction="custom" totalsRowDxfId="24">
      <totalsRowFormula>SUM(G2:G25)/SUM('אוגוסט 24'!G2:G26) - 1</totalsRowFormula>
    </tableColumn>
    <tableColumn id="5" xr3:uid="{F0572FC8-2F61-4FDE-856B-0B58D9868597}" name="עזר" totalsRowFunction="custom" dataDxfId="23">
      <calculatedColumnFormula>D2-G2</calculatedColumnFormula>
      <totalsRowFormula>SUMPRODUCT(D2:D25,K2:K25)/SUM(D2:D25)</totalsRowFormula>
    </tableColumn>
    <tableColumn id="6" xr3:uid="{AE785234-8F36-4A38-9CF5-70A986098EC9}" name="אחוז" dataDxfId="22">
      <calculatedColumnFormula>J6/D6</calculatedColumnFormula>
    </tableColumn>
    <tableColumn id="1" xr3:uid="{3037F670-E281-415D-8F34-2ABB06512F45}" name="נציגים צפויים" dataDxfId="21"/>
    <tableColumn id="3" xr3:uid="{31D1FE0A-4957-444B-AFC5-F9B9B71157BA}" name="מספר שעות" dataDxfId="20">
      <calculatedColumnFormula>8*L2</calculatedColumnFormula>
    </tableColumn>
    <tableColumn id="7" xr3:uid="{041DCC7B-A29E-435D-93FF-A90BD7029FD5}" name="כדי להגיע ליעד" dataDxfId="19">
      <calculatedColumnFormula>MAX(0,(D2+C2)/8 - L2)</calculatedColumnFormula>
    </tableColumn>
    <tableColumn id="8" xr3:uid="{70D5E653-9020-4CF7-9C10-6E65F3146F3C}" name="חיזוי קודם פניות" dataDxfId="18"/>
    <tableColumn id="9" xr3:uid="{BD5AF47F-CFEF-48FD-8C34-98A309A81EE4}" name="חיזוי קודם שיחות" dataDxfId="17"/>
    <tableColumn id="10" xr3:uid="{F0A744E1-5A38-4BF5-9ECC-AE5BCF50C0C8}" name="פער חיזוי פניות" dataDxfId="16"/>
    <tableColumn id="11" xr3:uid="{9FDB08EE-E3F8-4B4A-A68C-0860339ED6FE}" name="פער חיזוי שיחות" dataDxfId="15"/>
  </tableColumns>
  <tableStyleInfo name="TableStyleLight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A74A272-100B-4372-9A8D-46BA73466B0D}" name="Jun_251467818" displayName="Jun_251467818" ref="A1:J32" totalsRowShown="0">
  <autoFilter ref="A1:J32" xr:uid="{1D7E8561-D123-47BC-BDF2-3C3B5B8041AF}"/>
  <tableColumns count="10">
    <tableColumn id="1" xr3:uid="{B948B2A6-ADAD-433B-9EE0-2582DF4F6337}" name="תאריך" dataDxfId="71">
      <calculatedColumnFormula>DATE(2025,9,1) + ROW(A1) - 1</calculatedColumnFormula>
    </tableColumn>
    <tableColumn id="8" xr3:uid="{AEE7A64A-D0E9-4B95-A92D-3F23680AAD0D}" name="יום" dataDxfId="70">
      <calculatedColumnFormula>TEXT(A2,"dddd")</calculatedColumnFormula>
    </tableColumn>
    <tableColumn id="2" xr3:uid="{05016B3E-EA82-41CC-9F88-CB11A3DB801A}" name="פניות כתובות נפתחו" dataDxfId="69">
      <calculatedColumnFormula>'ספט 24'!C2 * (1 + $H$33)</calculatedColumnFormula>
    </tableColumn>
    <tableColumn id="3" xr3:uid="{0098A2A7-4A53-46B8-8735-A42A5CC55922}" name="שיחות נכנסות" dataDxfId="68">
      <calculatedColumnFormula>'ספט 24'!G2 * (1 + $D$33)</calculatedColumnFormula>
    </tableColumn>
    <tableColumn id="4" xr3:uid="{654018F2-E9A0-44D2-9519-4D616BD42641}" name="הערות"/>
    <tableColumn id="5" xr3:uid="{00B5AF75-9E59-4DFB-BAF8-1E479EE5344B}" name="מספר נציגים"/>
    <tableColumn id="6" xr3:uid="{87A94144-EB3B-4346-A3BC-DCCFCE51E80C}" name="שיחות ללא כפילויות"/>
    <tableColumn id="7" xr3:uid="{B2E91749-9F2A-4077-BA8E-52460605E392}" name="נציגים צפויים" dataDxfId="67"/>
    <tableColumn id="9" xr3:uid="{E5662FD9-6696-4775-B143-7179C420C9E2}" name="מספר שעות" dataDxfId="66">
      <calculatedColumnFormula>8*H2</calculatedColumnFormula>
    </tableColumn>
    <tableColumn id="10" xr3:uid="{3C0592DC-10B5-4553-8A36-7BE5BB273E61}" name="כדי להגיע ליעד" dataDxfId="65">
      <calculatedColumnFormula>(#REF!+#REF!)/8</calculatedColumnFormula>
    </tableColumn>
  </tableColumns>
  <tableStyleInfo name="TableStyleLight1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51452A1-E9FC-4B65-9B08-69153353BC4B}" name="Jun_251467810" displayName="Jun_251467810" ref="A1:Q37" totalsRowShown="0">
  <autoFilter ref="A1:Q37" xr:uid="{E8C226B9-557D-43D4-89B6-D939B0218F50}"/>
  <tableColumns count="17">
    <tableColumn id="1" xr3:uid="{3F60491E-1253-4E90-A28B-A249DEFB13D9}" name="תאריך" dataDxfId="14">
      <calculatedColumnFormula>DATE(2025,8,25) + ROW(A2) - 1</calculatedColumnFormula>
    </tableColumn>
    <tableColumn id="8" xr3:uid="{21863390-161D-4B2D-80E9-619F51E5B07F}" name="יום" dataDxfId="13">
      <calculatedColumnFormula>TEXT(A2,"dddd")</calculatedColumnFormula>
    </tableColumn>
    <tableColumn id="2" xr3:uid="{44FBC6BD-99C4-4DE5-AE89-0FB4D903BE7E}" name="פניות כתובות נפתחו" dataDxfId="12">
      <calculatedColumnFormula>AVERAGEIFS('אוגוסט 24'!$C:$C,'אוגוסט 24'!$B:$B,$B2)</calculatedColumnFormula>
    </tableColumn>
    <tableColumn id="3" xr3:uid="{561177C4-971F-473B-9417-B0D0B3475DF5}" name="שיחות נכנסות" dataDxfId="11">
      <calculatedColumnFormula>AVERAGEIFS('אוגוסט 24'!$G:$G,'אוגוסט 24'!$B:$B,$B2)</calculatedColumnFormula>
    </tableColumn>
    <tableColumn id="4" xr3:uid="{02784A69-3639-4EE8-8EF7-D2EF54F62C95}" name="הערות"/>
    <tableColumn id="5" xr3:uid="{405F4091-7289-4934-8D9A-6D965E373288}" name="מספר נציגים"/>
    <tableColumn id="6" xr3:uid="{B3CD0689-1881-465C-9121-C3DC0A45C838}" name="תחזית שיחות ללא כפילות" dataDxfId="10">
      <calculatedColumnFormula xml:space="preserve"> D2 * (1 + $S$14) * $A$41</calculatedColumnFormula>
    </tableColumn>
    <tableColumn id="7" xr3:uid="{75234DA7-8DBF-4DF7-B584-1079C42EEB41}" name="תחזית פניות" dataDxfId="9">
      <calculatedColumnFormula xml:space="preserve"> C2 * (1 + $R$14) * $A$41</calculatedColumnFormula>
    </tableColumn>
    <tableColumn id="9" xr3:uid="{702D7BAA-3601-4F07-9F16-B37A7608104D}" name="תחזית כפילויות" dataDxfId="8">
      <calculatedColumnFormula xml:space="preserve"> G2 * $T$14</calculatedColumnFormula>
    </tableColumn>
    <tableColumn id="10" xr3:uid="{BBB558E2-B0CB-42CA-BDB6-58AEAB40EBE6}" name="סהכ תחזית שיחות" dataDxfId="7">
      <calculatedColumnFormula>G2+I2</calculatedColumnFormula>
    </tableColumn>
    <tableColumn id="11" xr3:uid="{EA7088CE-9732-466E-AAE5-27F8BF6457DD}" name="כמות שיחות שיוכלו לענות הנציגים" dataDxfId="6"/>
    <tableColumn id="12" xr3:uid="{2041AC28-690C-4500-9405-C1BB6C6BDA85}" name="הפרש" dataDxfId="5">
      <calculatedColumnFormula>K2-J2</calculatedColumnFormula>
    </tableColumn>
    <tableColumn id="13" xr3:uid="{E61771F1-F365-41E5-A38C-CA053874296E}" name="חיזוי שיחות סופי" dataDxfId="4">
      <calculatedColumnFormula>J2+MAX(0, -L2)</calculatedColumnFormula>
    </tableColumn>
    <tableColumn id="14" xr3:uid="{157B4FBB-BFB6-4E36-B067-2EAC5197AB16}" name="אחוז מענה דרוש-הכפלה ב0.96" dataDxfId="3">
      <calculatedColumnFormula>M2*0.96</calculatedColumnFormula>
    </tableColumn>
    <tableColumn id="15" xr3:uid="{6111960B-951F-47D0-A121-70E4B0183524}" name="כמות שעות נציג נדרשת עבור 96% מענה" dataDxfId="2">
      <calculatedColumnFormula>ROUNDUP((N2/$E$41)*7, 0)</calculatedColumnFormula>
    </tableColumn>
    <tableColumn id="16" xr3:uid="{03AF91C5-783E-431B-BD51-59EF323F6549}" name="כמות שעות נציג צפויה" dataDxfId="1">
      <calculatedColumnFormula>7*$F2</calculatedColumnFormula>
    </tableColumn>
    <tableColumn id="17" xr3:uid="{701864FD-2443-4667-AB85-6A32F59EDF41}" name="כמות אינטראקציות נדרשות עבור פריון 8" dataDxfId="0">
      <calculatedColumnFormula>8*$P2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CF97C-AD14-45E5-9790-2F2C84E475E2}">
  <dimension ref="A1:AF33"/>
  <sheetViews>
    <sheetView rightToLeft="1" tabSelected="1" workbookViewId="0">
      <selection activeCell="E1" sqref="E1"/>
    </sheetView>
  </sheetViews>
  <sheetFormatPr defaultRowHeight="14.15" x14ac:dyDescent="0.35"/>
  <cols>
    <col min="1" max="1" width="9.85546875" bestFit="1" customWidth="1"/>
    <col min="2" max="2" width="18.35546875" customWidth="1"/>
    <col min="3" max="3" width="12.5" customWidth="1"/>
    <col min="4" max="4" width="11.5" customWidth="1"/>
    <col min="5" max="5" width="11.640625" customWidth="1"/>
    <col min="7" max="7" width="17.85546875" bestFit="1" customWidth="1"/>
    <col min="10" max="10" width="9.85546875" bestFit="1" customWidth="1"/>
    <col min="11" max="11" width="17.35546875" customWidth="1"/>
    <col min="12" max="12" width="14.5" customWidth="1"/>
    <col min="14" max="14" width="11.640625" customWidth="1"/>
    <col min="17" max="17" width="9.85546875" bestFit="1" customWidth="1"/>
    <col min="18" max="18" width="17.140625" customWidth="1"/>
    <col min="19" max="19" width="13.7109375" customWidth="1"/>
    <col min="21" max="21" width="11.640625" customWidth="1"/>
    <col min="24" max="24" width="9.85546875" bestFit="1" customWidth="1"/>
    <col min="25" max="25" width="16.85546875" customWidth="1"/>
    <col min="26" max="26" width="12.5" customWidth="1"/>
    <col min="28" max="28" width="11.640625" customWidth="1"/>
    <col min="31" max="31" width="9.85546875" bestFit="1" customWidth="1"/>
    <col min="32" max="32" width="16.85546875" customWidth="1"/>
    <col min="33" max="33" width="12.5" customWidth="1"/>
    <col min="35" max="35" width="11.640625" customWidth="1"/>
  </cols>
  <sheetData>
    <row r="1" spans="1:32" x14ac:dyDescent="0.35">
      <c r="A1" t="s">
        <v>2</v>
      </c>
      <c r="B1" t="s">
        <v>10</v>
      </c>
      <c r="C1" t="s">
        <v>0</v>
      </c>
      <c r="D1" t="s">
        <v>1</v>
      </c>
      <c r="E1" t="s">
        <v>3</v>
      </c>
      <c r="F1" t="s">
        <v>7</v>
      </c>
      <c r="G1" t="s">
        <v>8</v>
      </c>
      <c r="H1" t="s">
        <v>9</v>
      </c>
    </row>
    <row r="2" spans="1:32" x14ac:dyDescent="0.35">
      <c r="A2" s="1">
        <f>DATE(2024,4,1) + ROW(A1) - 1</f>
        <v>45383</v>
      </c>
      <c r="B2" s="1" t="str">
        <f t="shared" ref="B2:B31" si="0">TEXT(A2,"dddd")</f>
        <v>יום שני</v>
      </c>
      <c r="C2">
        <v>333</v>
      </c>
      <c r="D2">
        <v>629</v>
      </c>
      <c r="E2" t="s">
        <v>6</v>
      </c>
      <c r="F2">
        <v>16</v>
      </c>
      <c r="G2">
        <v>496</v>
      </c>
      <c r="H2">
        <v>1</v>
      </c>
      <c r="K2" s="1"/>
      <c r="R2" s="1"/>
      <c r="Y2" s="1"/>
      <c r="AF2" s="1"/>
    </row>
    <row r="3" spans="1:32" x14ac:dyDescent="0.35">
      <c r="A3" s="1">
        <f t="shared" ref="A3:A31" si="1">DATE(2024,4,1) + ROW(A2) - 1</f>
        <v>45384</v>
      </c>
      <c r="B3" s="1" t="str">
        <f t="shared" si="0"/>
        <v>יום שלישי</v>
      </c>
      <c r="C3">
        <v>236</v>
      </c>
      <c r="D3">
        <v>294</v>
      </c>
      <c r="F3">
        <v>14</v>
      </c>
      <c r="G3">
        <v>263</v>
      </c>
      <c r="H3">
        <v>0</v>
      </c>
      <c r="K3" s="1"/>
      <c r="R3" s="1"/>
      <c r="Y3" s="1"/>
      <c r="AF3" s="1"/>
    </row>
    <row r="4" spans="1:32" x14ac:dyDescent="0.35">
      <c r="A4" s="1">
        <f t="shared" si="1"/>
        <v>45385</v>
      </c>
      <c r="B4" s="1" t="str">
        <f t="shared" si="0"/>
        <v>יום רביעי</v>
      </c>
      <c r="C4">
        <v>187</v>
      </c>
      <c r="D4">
        <v>247</v>
      </c>
      <c r="F4">
        <v>15</v>
      </c>
      <c r="G4">
        <v>210</v>
      </c>
      <c r="H4">
        <v>0</v>
      </c>
      <c r="K4" s="1"/>
      <c r="R4" s="1"/>
      <c r="Y4" s="1"/>
      <c r="AF4" s="1"/>
    </row>
    <row r="5" spans="1:32" x14ac:dyDescent="0.35">
      <c r="A5" s="1">
        <f t="shared" si="1"/>
        <v>45386</v>
      </c>
      <c r="B5" s="1" t="str">
        <f t="shared" si="0"/>
        <v>יום חמישי</v>
      </c>
      <c r="C5">
        <v>168</v>
      </c>
      <c r="D5">
        <v>227</v>
      </c>
      <c r="F5">
        <v>11</v>
      </c>
      <c r="G5">
        <v>192</v>
      </c>
      <c r="H5">
        <v>0</v>
      </c>
      <c r="K5" s="1"/>
      <c r="R5" s="1"/>
      <c r="Y5" s="1"/>
      <c r="AF5" s="1"/>
    </row>
    <row r="6" spans="1:32" x14ac:dyDescent="0.35">
      <c r="A6" s="1">
        <f t="shared" si="1"/>
        <v>45387</v>
      </c>
      <c r="B6" s="1" t="str">
        <f t="shared" si="0"/>
        <v>יום שישי</v>
      </c>
      <c r="C6">
        <v>22</v>
      </c>
      <c r="D6">
        <v>0</v>
      </c>
      <c r="E6" t="s">
        <v>5</v>
      </c>
      <c r="H6">
        <v>0</v>
      </c>
      <c r="K6" s="1"/>
      <c r="R6" s="1"/>
      <c r="Y6" s="1"/>
      <c r="AF6" s="1"/>
    </row>
    <row r="7" spans="1:32" x14ac:dyDescent="0.35">
      <c r="A7" s="1">
        <f t="shared" si="1"/>
        <v>45388</v>
      </c>
      <c r="B7" s="1" t="str">
        <f t="shared" si="0"/>
        <v>שבת</v>
      </c>
      <c r="C7">
        <v>6</v>
      </c>
      <c r="D7">
        <v>0</v>
      </c>
      <c r="E7" t="s">
        <v>5</v>
      </c>
      <c r="H7">
        <v>0</v>
      </c>
      <c r="K7" s="1"/>
      <c r="R7" s="1"/>
      <c r="Y7" s="1"/>
      <c r="AF7" s="1"/>
    </row>
    <row r="8" spans="1:32" x14ac:dyDescent="0.35">
      <c r="A8" s="1">
        <f t="shared" si="1"/>
        <v>45389</v>
      </c>
      <c r="B8" s="1" t="str">
        <f t="shared" si="0"/>
        <v>יום ראשון</v>
      </c>
      <c r="C8">
        <v>391</v>
      </c>
      <c r="D8">
        <v>496</v>
      </c>
      <c r="E8" t="s">
        <v>4</v>
      </c>
      <c r="F8">
        <v>16</v>
      </c>
      <c r="G8">
        <v>435</v>
      </c>
      <c r="H8">
        <v>1</v>
      </c>
      <c r="K8" s="1"/>
      <c r="R8" s="2"/>
      <c r="S8" s="3"/>
      <c r="T8" s="3"/>
      <c r="U8" s="3"/>
      <c r="Y8" s="1"/>
      <c r="AF8" s="1"/>
    </row>
    <row r="9" spans="1:32" x14ac:dyDescent="0.35">
      <c r="A9" s="1">
        <f t="shared" si="1"/>
        <v>45390</v>
      </c>
      <c r="B9" s="1" t="str">
        <f t="shared" si="0"/>
        <v>יום שני</v>
      </c>
      <c r="C9">
        <v>405</v>
      </c>
      <c r="D9">
        <v>500</v>
      </c>
      <c r="E9" t="s">
        <v>4</v>
      </c>
      <c r="F9">
        <v>16</v>
      </c>
      <c r="G9">
        <v>426</v>
      </c>
      <c r="H9">
        <v>1</v>
      </c>
      <c r="K9" s="1"/>
      <c r="R9" s="1"/>
      <c r="Y9" s="1"/>
      <c r="AF9" s="1"/>
    </row>
    <row r="10" spans="1:32" x14ac:dyDescent="0.35">
      <c r="A10" s="1">
        <f t="shared" si="1"/>
        <v>45391</v>
      </c>
      <c r="B10" s="1" t="str">
        <f t="shared" si="0"/>
        <v>יום שלישי</v>
      </c>
      <c r="C10">
        <v>314</v>
      </c>
      <c r="D10">
        <v>370</v>
      </c>
      <c r="E10" t="s">
        <v>4</v>
      </c>
      <c r="F10">
        <v>17</v>
      </c>
      <c r="G10">
        <v>317</v>
      </c>
      <c r="H10">
        <v>1</v>
      </c>
      <c r="K10" s="1"/>
      <c r="R10" s="1"/>
      <c r="Y10" s="1"/>
      <c r="AF10" s="1"/>
    </row>
    <row r="11" spans="1:32" x14ac:dyDescent="0.35">
      <c r="A11" s="1">
        <f t="shared" si="1"/>
        <v>45392</v>
      </c>
      <c r="B11" s="1" t="str">
        <f t="shared" si="0"/>
        <v>יום רביעי</v>
      </c>
      <c r="C11">
        <v>299</v>
      </c>
      <c r="D11">
        <v>360</v>
      </c>
      <c r="E11" t="s">
        <v>4</v>
      </c>
      <c r="F11">
        <v>15</v>
      </c>
      <c r="G11">
        <v>319</v>
      </c>
      <c r="H11">
        <v>1</v>
      </c>
      <c r="K11" s="1"/>
      <c r="R11" s="1"/>
      <c r="Y11" s="1"/>
      <c r="AF11" s="1"/>
    </row>
    <row r="12" spans="1:32" x14ac:dyDescent="0.35">
      <c r="A12" s="1">
        <f t="shared" si="1"/>
        <v>45393</v>
      </c>
      <c r="B12" s="1" t="str">
        <f t="shared" si="0"/>
        <v>יום חמישי</v>
      </c>
      <c r="C12">
        <v>267</v>
      </c>
      <c r="D12">
        <v>339</v>
      </c>
      <c r="E12" t="s">
        <v>4</v>
      </c>
      <c r="F12">
        <v>14</v>
      </c>
      <c r="G12">
        <v>297</v>
      </c>
      <c r="H12">
        <v>1</v>
      </c>
      <c r="K12" s="1"/>
      <c r="R12" s="1"/>
      <c r="Y12" s="1"/>
      <c r="AF12" s="1"/>
    </row>
    <row r="13" spans="1:32" x14ac:dyDescent="0.35">
      <c r="A13" s="1">
        <f t="shared" si="1"/>
        <v>45394</v>
      </c>
      <c r="B13" s="1" t="str">
        <f t="shared" si="0"/>
        <v>יום שישי</v>
      </c>
      <c r="C13">
        <v>33</v>
      </c>
      <c r="D13">
        <v>0</v>
      </c>
      <c r="E13" t="s">
        <v>5</v>
      </c>
      <c r="H13">
        <v>0</v>
      </c>
      <c r="K13" s="1"/>
      <c r="R13" s="1"/>
      <c r="Y13" s="1"/>
      <c r="AF13" s="1"/>
    </row>
    <row r="14" spans="1:32" x14ac:dyDescent="0.35">
      <c r="A14" s="1">
        <f t="shared" si="1"/>
        <v>45395</v>
      </c>
      <c r="B14" s="1" t="str">
        <f t="shared" si="0"/>
        <v>שבת</v>
      </c>
      <c r="C14">
        <v>6</v>
      </c>
      <c r="D14">
        <v>0</v>
      </c>
      <c r="E14" t="s">
        <v>5</v>
      </c>
      <c r="H14">
        <v>0</v>
      </c>
      <c r="K14" s="1"/>
      <c r="R14" s="6"/>
      <c r="S14" s="7"/>
      <c r="T14" s="7"/>
      <c r="U14" s="7"/>
      <c r="Y14" s="1"/>
      <c r="AF14" s="1"/>
    </row>
    <row r="15" spans="1:32" x14ac:dyDescent="0.35">
      <c r="A15" s="1">
        <f t="shared" si="1"/>
        <v>45396</v>
      </c>
      <c r="B15" s="1" t="str">
        <f t="shared" si="0"/>
        <v>יום ראשון</v>
      </c>
      <c r="C15">
        <v>300</v>
      </c>
      <c r="D15">
        <v>304</v>
      </c>
      <c r="F15">
        <v>8</v>
      </c>
      <c r="G15">
        <v>257</v>
      </c>
      <c r="H15">
        <v>0</v>
      </c>
      <c r="K15" s="1"/>
      <c r="R15" s="6"/>
      <c r="S15" s="7"/>
      <c r="T15" s="7"/>
      <c r="U15" s="7"/>
      <c r="Y15" s="1"/>
      <c r="AF15" s="1"/>
    </row>
    <row r="16" spans="1:32" x14ac:dyDescent="0.35">
      <c r="A16" s="1">
        <f t="shared" si="1"/>
        <v>45397</v>
      </c>
      <c r="B16" s="1" t="str">
        <f t="shared" si="0"/>
        <v>יום שני</v>
      </c>
      <c r="C16">
        <v>351</v>
      </c>
      <c r="D16">
        <v>375</v>
      </c>
      <c r="F16">
        <v>12</v>
      </c>
      <c r="G16">
        <v>322</v>
      </c>
      <c r="H16">
        <v>0</v>
      </c>
      <c r="K16" s="1"/>
      <c r="R16" s="6"/>
      <c r="S16" s="7"/>
      <c r="T16" s="7"/>
      <c r="U16" s="7"/>
      <c r="Y16" s="1"/>
      <c r="AF16" s="1"/>
    </row>
    <row r="17" spans="1:32" x14ac:dyDescent="0.35">
      <c r="A17" s="1">
        <f t="shared" si="1"/>
        <v>45398</v>
      </c>
      <c r="B17" s="1" t="str">
        <f t="shared" si="0"/>
        <v>יום שלישי</v>
      </c>
      <c r="C17">
        <v>445</v>
      </c>
      <c r="D17">
        <v>421</v>
      </c>
      <c r="F17">
        <v>14</v>
      </c>
      <c r="G17">
        <v>353</v>
      </c>
      <c r="H17">
        <v>0</v>
      </c>
      <c r="K17" s="1"/>
      <c r="R17" s="6"/>
      <c r="S17" s="7"/>
      <c r="T17" s="7"/>
      <c r="U17" s="7"/>
      <c r="Y17" s="1"/>
      <c r="AF17" s="1"/>
    </row>
    <row r="18" spans="1:32" x14ac:dyDescent="0.35">
      <c r="A18" s="1">
        <f t="shared" si="1"/>
        <v>45399</v>
      </c>
      <c r="B18" s="1" t="str">
        <f t="shared" si="0"/>
        <v>יום רביעי</v>
      </c>
      <c r="C18">
        <v>364</v>
      </c>
      <c r="D18">
        <v>386</v>
      </c>
      <c r="F18">
        <v>14</v>
      </c>
      <c r="G18">
        <v>336</v>
      </c>
      <c r="H18">
        <v>0</v>
      </c>
      <c r="K18" s="1"/>
      <c r="R18" s="6"/>
      <c r="S18" s="7"/>
      <c r="T18" s="7"/>
      <c r="U18" s="7"/>
      <c r="Y18" s="1"/>
      <c r="AF18" s="1"/>
    </row>
    <row r="19" spans="1:32" x14ac:dyDescent="0.35">
      <c r="A19" s="1">
        <f t="shared" si="1"/>
        <v>45400</v>
      </c>
      <c r="B19" s="1" t="str">
        <f t="shared" si="0"/>
        <v>יום חמישי</v>
      </c>
      <c r="C19">
        <v>344</v>
      </c>
      <c r="D19">
        <v>414</v>
      </c>
      <c r="F19">
        <v>15</v>
      </c>
      <c r="G19">
        <v>348</v>
      </c>
      <c r="H19">
        <v>0</v>
      </c>
      <c r="K19" s="1"/>
      <c r="R19" s="4"/>
      <c r="S19" s="5"/>
      <c r="T19" s="5"/>
      <c r="Y19" s="1"/>
      <c r="AF19" s="1"/>
    </row>
    <row r="20" spans="1:32" x14ac:dyDescent="0.35">
      <c r="A20" s="1">
        <f t="shared" si="1"/>
        <v>45401</v>
      </c>
      <c r="B20" s="1" t="str">
        <f t="shared" si="0"/>
        <v>יום שישי</v>
      </c>
      <c r="C20">
        <v>23</v>
      </c>
      <c r="D20">
        <v>0</v>
      </c>
      <c r="E20" t="s">
        <v>5</v>
      </c>
      <c r="F20">
        <v>0</v>
      </c>
      <c r="H20">
        <v>0</v>
      </c>
      <c r="K20" s="1"/>
      <c r="R20" s="4"/>
      <c r="S20" s="5"/>
      <c r="T20" s="5"/>
      <c r="Y20" s="1"/>
      <c r="AF20" s="1"/>
    </row>
    <row r="21" spans="1:32" x14ac:dyDescent="0.35">
      <c r="A21" s="1">
        <f t="shared" si="1"/>
        <v>45402</v>
      </c>
      <c r="B21" s="1" t="str">
        <f t="shared" si="0"/>
        <v>שבת</v>
      </c>
      <c r="C21">
        <v>7</v>
      </c>
      <c r="D21">
        <v>0</v>
      </c>
      <c r="E21" t="s">
        <v>5</v>
      </c>
      <c r="F21">
        <v>0</v>
      </c>
      <c r="H21">
        <v>0</v>
      </c>
      <c r="K21" s="1"/>
      <c r="R21" s="1"/>
      <c r="Y21" s="1"/>
      <c r="AF21" s="1"/>
    </row>
    <row r="22" spans="1:32" x14ac:dyDescent="0.35">
      <c r="A22" s="1">
        <f t="shared" si="1"/>
        <v>45403</v>
      </c>
      <c r="B22" s="1" t="str">
        <f t="shared" si="0"/>
        <v>יום ראשון</v>
      </c>
      <c r="C22">
        <v>388</v>
      </c>
      <c r="D22">
        <v>429</v>
      </c>
      <c r="F22">
        <v>12</v>
      </c>
      <c r="G22">
        <v>352</v>
      </c>
      <c r="H22">
        <v>0</v>
      </c>
      <c r="K22" s="1"/>
      <c r="R22" s="1"/>
      <c r="Y22" s="1"/>
      <c r="AF22" s="1"/>
    </row>
    <row r="23" spans="1:32" x14ac:dyDescent="0.35">
      <c r="A23" s="1">
        <f t="shared" si="1"/>
        <v>45404</v>
      </c>
      <c r="B23" s="1" t="str">
        <f t="shared" si="0"/>
        <v>יום שני</v>
      </c>
      <c r="C23">
        <v>16</v>
      </c>
      <c r="D23">
        <v>0</v>
      </c>
      <c r="E23" t="s">
        <v>5</v>
      </c>
      <c r="F23">
        <v>0</v>
      </c>
      <c r="G23">
        <v>0</v>
      </c>
      <c r="H23">
        <v>0</v>
      </c>
      <c r="K23" s="1"/>
      <c r="R23" s="1"/>
      <c r="Y23" s="1"/>
      <c r="AF23" s="1"/>
    </row>
    <row r="24" spans="1:32" x14ac:dyDescent="0.35">
      <c r="A24" s="1">
        <f t="shared" si="1"/>
        <v>45405</v>
      </c>
      <c r="B24" s="1" t="str">
        <f t="shared" si="0"/>
        <v>יום שלישי</v>
      </c>
      <c r="C24">
        <v>4</v>
      </c>
      <c r="D24">
        <v>0</v>
      </c>
      <c r="E24" t="s">
        <v>5</v>
      </c>
      <c r="F24">
        <v>0</v>
      </c>
      <c r="G24">
        <v>0</v>
      </c>
      <c r="H24">
        <v>0</v>
      </c>
      <c r="K24" s="1"/>
      <c r="R24" s="1"/>
      <c r="Y24" s="1"/>
      <c r="AF24" s="1"/>
    </row>
    <row r="25" spans="1:32" x14ac:dyDescent="0.35">
      <c r="A25" s="1">
        <f t="shared" si="1"/>
        <v>45406</v>
      </c>
      <c r="B25" s="1" t="str">
        <f t="shared" si="0"/>
        <v>יום רביעי</v>
      </c>
      <c r="C25">
        <v>50</v>
      </c>
      <c r="D25">
        <v>0</v>
      </c>
      <c r="E25" t="s">
        <v>5</v>
      </c>
      <c r="F25">
        <v>0</v>
      </c>
      <c r="G25">
        <v>0</v>
      </c>
      <c r="H25">
        <v>0</v>
      </c>
      <c r="K25" s="1"/>
      <c r="R25" s="1"/>
      <c r="Y25" s="1"/>
      <c r="AF25" s="1"/>
    </row>
    <row r="26" spans="1:32" x14ac:dyDescent="0.35">
      <c r="A26" s="1">
        <f t="shared" si="1"/>
        <v>45407</v>
      </c>
      <c r="B26" s="1" t="str">
        <f t="shared" si="0"/>
        <v>יום חמישי</v>
      </c>
      <c r="C26">
        <v>81</v>
      </c>
      <c r="D26">
        <v>1</v>
      </c>
      <c r="E26" t="s">
        <v>5</v>
      </c>
      <c r="F26">
        <v>0</v>
      </c>
      <c r="G26">
        <v>0</v>
      </c>
      <c r="H26">
        <v>0</v>
      </c>
      <c r="K26" s="1"/>
      <c r="R26" s="1"/>
      <c r="Y26" s="1"/>
      <c r="AF26" s="1"/>
    </row>
    <row r="27" spans="1:32" x14ac:dyDescent="0.35">
      <c r="A27" s="1">
        <f t="shared" si="1"/>
        <v>45408</v>
      </c>
      <c r="B27" s="1" t="str">
        <f t="shared" si="0"/>
        <v>יום שישי</v>
      </c>
      <c r="C27">
        <v>15</v>
      </c>
      <c r="D27">
        <v>0</v>
      </c>
      <c r="E27" t="s">
        <v>5</v>
      </c>
      <c r="F27">
        <v>0</v>
      </c>
      <c r="G27">
        <v>0</v>
      </c>
      <c r="H27">
        <v>0</v>
      </c>
      <c r="K27" s="1"/>
      <c r="R27" s="1"/>
      <c r="Y27" s="1"/>
      <c r="AF27" s="1"/>
    </row>
    <row r="28" spans="1:32" x14ac:dyDescent="0.35">
      <c r="A28" s="1">
        <f t="shared" si="1"/>
        <v>45409</v>
      </c>
      <c r="B28" s="1" t="str">
        <f t="shared" si="0"/>
        <v>שבת</v>
      </c>
      <c r="C28">
        <v>6</v>
      </c>
      <c r="D28">
        <v>0</v>
      </c>
      <c r="E28" t="s">
        <v>5</v>
      </c>
      <c r="F28">
        <v>0</v>
      </c>
      <c r="G28">
        <v>0</v>
      </c>
      <c r="H28">
        <v>0</v>
      </c>
      <c r="K28" s="1"/>
      <c r="R28" s="1"/>
      <c r="Y28" s="1"/>
      <c r="AF28" s="1"/>
    </row>
    <row r="29" spans="1:32" x14ac:dyDescent="0.35">
      <c r="A29" s="1">
        <f t="shared" si="1"/>
        <v>45410</v>
      </c>
      <c r="B29" s="1" t="str">
        <f t="shared" si="0"/>
        <v>יום ראשון</v>
      </c>
      <c r="C29">
        <v>14</v>
      </c>
      <c r="D29">
        <v>0</v>
      </c>
      <c r="E29" t="s">
        <v>5</v>
      </c>
      <c r="F29">
        <v>0</v>
      </c>
      <c r="G29">
        <v>0</v>
      </c>
      <c r="H29">
        <v>0</v>
      </c>
      <c r="K29" s="1"/>
      <c r="R29" s="1"/>
      <c r="Y29" s="1"/>
      <c r="AF29" s="1"/>
    </row>
    <row r="30" spans="1:32" x14ac:dyDescent="0.35">
      <c r="A30" s="1">
        <f t="shared" si="1"/>
        <v>45411</v>
      </c>
      <c r="B30" s="1" t="str">
        <f t="shared" si="0"/>
        <v>יום שני</v>
      </c>
      <c r="C30">
        <v>11</v>
      </c>
      <c r="D30">
        <v>0</v>
      </c>
      <c r="E30" t="s">
        <v>5</v>
      </c>
      <c r="F30">
        <v>0</v>
      </c>
      <c r="G30">
        <v>0</v>
      </c>
      <c r="H30">
        <v>0</v>
      </c>
      <c r="K30" s="1"/>
      <c r="R30" s="1"/>
      <c r="Y30" s="1"/>
      <c r="AF30" s="1"/>
    </row>
    <row r="31" spans="1:32" x14ac:dyDescent="0.35">
      <c r="A31" s="1">
        <f t="shared" si="1"/>
        <v>45412</v>
      </c>
      <c r="B31" s="1" t="str">
        <f t="shared" si="0"/>
        <v>יום שלישי</v>
      </c>
      <c r="C31">
        <v>709</v>
      </c>
      <c r="D31">
        <v>1170</v>
      </c>
      <c r="E31" t="s">
        <v>6</v>
      </c>
      <c r="F31">
        <v>18</v>
      </c>
      <c r="G31">
        <v>912</v>
      </c>
      <c r="H31">
        <v>1</v>
      </c>
      <c r="K31" s="1"/>
      <c r="R31" s="2"/>
      <c r="S31" s="3"/>
      <c r="T31" s="3"/>
      <c r="U31" s="3"/>
      <c r="Y31" s="1"/>
      <c r="AF31" s="1"/>
    </row>
    <row r="32" spans="1:32" x14ac:dyDescent="0.35">
      <c r="A32" s="1"/>
      <c r="J32" s="1"/>
      <c r="Q32" s="1"/>
      <c r="X32" s="1"/>
      <c r="AE32" s="1"/>
    </row>
    <row r="33" spans="1:1" x14ac:dyDescent="0.35">
      <c r="A33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650EB-5AE8-402F-974E-CA450E00A0AC}">
  <dimension ref="A1:H32"/>
  <sheetViews>
    <sheetView rightToLeft="1" workbookViewId="0">
      <selection activeCell="B2" sqref="B2"/>
    </sheetView>
  </sheetViews>
  <sheetFormatPr defaultRowHeight="14.15" x14ac:dyDescent="0.35"/>
  <cols>
    <col min="1" max="1" width="9.85546875" bestFit="1" customWidth="1"/>
    <col min="7" max="7" width="17.85546875" bestFit="1" customWidth="1"/>
  </cols>
  <sheetData>
    <row r="1" spans="1:8" x14ac:dyDescent="0.35">
      <c r="A1" t="s">
        <v>2</v>
      </c>
      <c r="B1" t="s">
        <v>10</v>
      </c>
      <c r="C1" t="s">
        <v>0</v>
      </c>
      <c r="D1" t="s">
        <v>1</v>
      </c>
      <c r="E1" t="s">
        <v>3</v>
      </c>
      <c r="F1" t="s">
        <v>7</v>
      </c>
      <c r="G1" t="s">
        <v>8</v>
      </c>
      <c r="H1" t="s">
        <v>9</v>
      </c>
    </row>
    <row r="2" spans="1:8" x14ac:dyDescent="0.35">
      <c r="A2" s="1">
        <f>DATE(2024,5,1) + ROW(A1) - 1</f>
        <v>45413</v>
      </c>
      <c r="B2" s="1" t="str">
        <f t="shared" ref="B2:B32" si="0">TEXT(A2,"dddd")</f>
        <v>יום רביעי</v>
      </c>
      <c r="C2">
        <v>354</v>
      </c>
      <c r="D2">
        <v>1170</v>
      </c>
      <c r="E2" t="s">
        <v>6</v>
      </c>
      <c r="F2">
        <v>16</v>
      </c>
      <c r="G2">
        <v>617</v>
      </c>
      <c r="H2">
        <v>1</v>
      </c>
    </row>
    <row r="3" spans="1:8" x14ac:dyDescent="0.35">
      <c r="A3" s="1">
        <f t="shared" ref="A3:A32" si="1">DATE(2024,5,1) + ROW(A2) - 1</f>
        <v>45414</v>
      </c>
      <c r="B3" s="1" t="str">
        <f t="shared" si="0"/>
        <v>יום חמישי</v>
      </c>
      <c r="C3">
        <v>210</v>
      </c>
      <c r="D3">
        <v>298</v>
      </c>
      <c r="F3">
        <v>15</v>
      </c>
      <c r="G3">
        <v>263</v>
      </c>
      <c r="H3">
        <v>0</v>
      </c>
    </row>
    <row r="4" spans="1:8" x14ac:dyDescent="0.35">
      <c r="A4" s="1">
        <f t="shared" si="1"/>
        <v>45415</v>
      </c>
      <c r="B4" s="1" t="str">
        <f t="shared" si="0"/>
        <v>יום שישי</v>
      </c>
      <c r="C4">
        <v>21</v>
      </c>
      <c r="D4">
        <v>0</v>
      </c>
      <c r="E4" t="s">
        <v>5</v>
      </c>
      <c r="F4">
        <v>0</v>
      </c>
      <c r="H4">
        <v>0</v>
      </c>
    </row>
    <row r="5" spans="1:8" x14ac:dyDescent="0.35">
      <c r="A5" s="1">
        <f t="shared" si="1"/>
        <v>45416</v>
      </c>
      <c r="B5" s="1" t="str">
        <f t="shared" si="0"/>
        <v>שבת</v>
      </c>
      <c r="C5">
        <v>7</v>
      </c>
      <c r="D5">
        <v>0</v>
      </c>
      <c r="E5" t="s">
        <v>5</v>
      </c>
      <c r="F5">
        <v>0</v>
      </c>
      <c r="H5">
        <v>0</v>
      </c>
    </row>
    <row r="6" spans="1:8" x14ac:dyDescent="0.35">
      <c r="A6" s="1">
        <f t="shared" si="1"/>
        <v>45417</v>
      </c>
      <c r="B6" s="1" t="str">
        <f t="shared" si="0"/>
        <v>יום ראשון</v>
      </c>
      <c r="C6">
        <v>298</v>
      </c>
      <c r="D6">
        <v>304</v>
      </c>
      <c r="F6">
        <v>11</v>
      </c>
      <c r="G6">
        <v>269</v>
      </c>
      <c r="H6">
        <v>0</v>
      </c>
    </row>
    <row r="7" spans="1:8" x14ac:dyDescent="0.35">
      <c r="A7" s="1">
        <f t="shared" si="1"/>
        <v>45418</v>
      </c>
      <c r="B7" s="1" t="str">
        <f t="shared" si="0"/>
        <v>יום שני</v>
      </c>
      <c r="C7">
        <v>253</v>
      </c>
      <c r="D7">
        <v>197</v>
      </c>
      <c r="F7">
        <v>15</v>
      </c>
      <c r="G7">
        <v>178</v>
      </c>
      <c r="H7">
        <v>0</v>
      </c>
    </row>
    <row r="8" spans="1:8" x14ac:dyDescent="0.35">
      <c r="A8" s="1">
        <f t="shared" si="1"/>
        <v>45419</v>
      </c>
      <c r="B8" s="1" t="str">
        <f t="shared" si="0"/>
        <v>יום שלישי</v>
      </c>
      <c r="C8">
        <v>368</v>
      </c>
      <c r="D8">
        <v>617</v>
      </c>
      <c r="E8" t="s">
        <v>4</v>
      </c>
      <c r="F8">
        <v>17</v>
      </c>
      <c r="G8">
        <v>519</v>
      </c>
      <c r="H8">
        <v>1</v>
      </c>
    </row>
    <row r="9" spans="1:8" x14ac:dyDescent="0.35">
      <c r="A9" s="1">
        <f t="shared" si="1"/>
        <v>45420</v>
      </c>
      <c r="B9" s="1" t="str">
        <f t="shared" si="0"/>
        <v>יום רביעי</v>
      </c>
      <c r="C9">
        <v>230</v>
      </c>
      <c r="D9">
        <v>374</v>
      </c>
      <c r="E9" t="s">
        <v>4</v>
      </c>
      <c r="F9">
        <v>15</v>
      </c>
      <c r="G9">
        <v>335</v>
      </c>
      <c r="H9">
        <v>1</v>
      </c>
    </row>
    <row r="10" spans="1:8" x14ac:dyDescent="0.35">
      <c r="A10" s="1">
        <f t="shared" si="1"/>
        <v>45421</v>
      </c>
      <c r="B10" s="1" t="str">
        <f t="shared" si="0"/>
        <v>יום חמישי</v>
      </c>
      <c r="C10">
        <v>251</v>
      </c>
      <c r="D10">
        <v>386</v>
      </c>
      <c r="E10" t="s">
        <v>4</v>
      </c>
      <c r="F10">
        <v>14</v>
      </c>
      <c r="G10">
        <v>329</v>
      </c>
      <c r="H10">
        <v>1</v>
      </c>
    </row>
    <row r="11" spans="1:8" x14ac:dyDescent="0.35">
      <c r="A11" s="1">
        <f t="shared" si="1"/>
        <v>45422</v>
      </c>
      <c r="B11" s="1" t="str">
        <f t="shared" si="0"/>
        <v>יום שישי</v>
      </c>
      <c r="C11">
        <v>31</v>
      </c>
      <c r="D11">
        <v>0</v>
      </c>
      <c r="E11" t="s">
        <v>5</v>
      </c>
      <c r="F11">
        <v>0</v>
      </c>
      <c r="H11">
        <v>0</v>
      </c>
    </row>
    <row r="12" spans="1:8" x14ac:dyDescent="0.35">
      <c r="A12" s="1">
        <f t="shared" si="1"/>
        <v>45423</v>
      </c>
      <c r="B12" s="1" t="str">
        <f t="shared" si="0"/>
        <v>שבת</v>
      </c>
      <c r="C12">
        <v>4</v>
      </c>
      <c r="D12">
        <v>0</v>
      </c>
      <c r="E12" t="s">
        <v>5</v>
      </c>
      <c r="F12">
        <v>0</v>
      </c>
      <c r="H12">
        <v>0</v>
      </c>
    </row>
    <row r="13" spans="1:8" x14ac:dyDescent="0.35">
      <c r="A13" s="1">
        <f t="shared" si="1"/>
        <v>45424</v>
      </c>
      <c r="B13" s="1" t="str">
        <f t="shared" si="0"/>
        <v>יום ראשון</v>
      </c>
      <c r="C13">
        <v>334</v>
      </c>
      <c r="D13">
        <v>369</v>
      </c>
      <c r="E13" t="s">
        <v>4</v>
      </c>
      <c r="F13">
        <v>14</v>
      </c>
      <c r="G13">
        <v>327</v>
      </c>
      <c r="H13">
        <v>1</v>
      </c>
    </row>
    <row r="14" spans="1:8" x14ac:dyDescent="0.35">
      <c r="A14" s="1">
        <f t="shared" si="1"/>
        <v>45425</v>
      </c>
      <c r="B14" s="1" t="str">
        <f t="shared" si="0"/>
        <v>יום שני</v>
      </c>
      <c r="C14">
        <v>34</v>
      </c>
      <c r="D14">
        <v>0</v>
      </c>
      <c r="E14" t="s">
        <v>5</v>
      </c>
      <c r="F14">
        <v>0</v>
      </c>
      <c r="H14">
        <v>0</v>
      </c>
    </row>
    <row r="15" spans="1:8" x14ac:dyDescent="0.35">
      <c r="A15" s="1">
        <f t="shared" si="1"/>
        <v>45426</v>
      </c>
      <c r="B15" s="1" t="str">
        <f t="shared" si="0"/>
        <v>יום שלישי</v>
      </c>
      <c r="C15">
        <v>7</v>
      </c>
      <c r="D15">
        <v>0</v>
      </c>
      <c r="E15" t="s">
        <v>5</v>
      </c>
      <c r="F15">
        <v>0</v>
      </c>
      <c r="H15">
        <v>0</v>
      </c>
    </row>
    <row r="16" spans="1:8" x14ac:dyDescent="0.35">
      <c r="A16" s="1">
        <f t="shared" si="1"/>
        <v>45427</v>
      </c>
      <c r="B16" s="1" t="str">
        <f t="shared" si="0"/>
        <v>יום רביעי</v>
      </c>
      <c r="C16">
        <v>387</v>
      </c>
      <c r="D16">
        <v>336</v>
      </c>
      <c r="F16">
        <v>14</v>
      </c>
      <c r="G16">
        <v>296</v>
      </c>
      <c r="H16">
        <v>0</v>
      </c>
    </row>
    <row r="17" spans="1:8" x14ac:dyDescent="0.35">
      <c r="A17" s="1">
        <f t="shared" si="1"/>
        <v>45428</v>
      </c>
      <c r="B17" s="1" t="str">
        <f t="shared" si="0"/>
        <v>יום חמישי</v>
      </c>
      <c r="C17">
        <v>276</v>
      </c>
      <c r="D17">
        <v>309</v>
      </c>
      <c r="F17">
        <v>11</v>
      </c>
      <c r="G17">
        <v>281</v>
      </c>
      <c r="H17">
        <v>0</v>
      </c>
    </row>
    <row r="18" spans="1:8" x14ac:dyDescent="0.35">
      <c r="A18" s="1">
        <f t="shared" si="1"/>
        <v>45429</v>
      </c>
      <c r="B18" s="1" t="str">
        <f t="shared" si="0"/>
        <v>יום שישי</v>
      </c>
      <c r="C18">
        <v>21</v>
      </c>
      <c r="D18">
        <v>0</v>
      </c>
      <c r="E18" t="s">
        <v>5</v>
      </c>
      <c r="F18">
        <v>0</v>
      </c>
      <c r="H18">
        <v>0</v>
      </c>
    </row>
    <row r="19" spans="1:8" x14ac:dyDescent="0.35">
      <c r="A19" s="1">
        <f t="shared" si="1"/>
        <v>45430</v>
      </c>
      <c r="B19" s="1" t="str">
        <f t="shared" si="0"/>
        <v>שבת</v>
      </c>
      <c r="C19">
        <v>5</v>
      </c>
      <c r="D19">
        <v>0</v>
      </c>
      <c r="E19" t="s">
        <v>5</v>
      </c>
      <c r="F19">
        <v>0</v>
      </c>
      <c r="H19">
        <v>0</v>
      </c>
    </row>
    <row r="20" spans="1:8" x14ac:dyDescent="0.35">
      <c r="A20" s="1">
        <f t="shared" si="1"/>
        <v>45431</v>
      </c>
      <c r="B20" s="1" t="str">
        <f t="shared" si="0"/>
        <v>יום ראשון</v>
      </c>
      <c r="C20">
        <v>380</v>
      </c>
      <c r="D20">
        <v>359</v>
      </c>
      <c r="F20">
        <v>13</v>
      </c>
      <c r="G20">
        <v>311</v>
      </c>
      <c r="H20">
        <v>0</v>
      </c>
    </row>
    <row r="21" spans="1:8" x14ac:dyDescent="0.35">
      <c r="A21" s="1">
        <f t="shared" si="1"/>
        <v>45432</v>
      </c>
      <c r="B21" s="1" t="str">
        <f t="shared" si="0"/>
        <v>יום שני</v>
      </c>
      <c r="C21">
        <v>350</v>
      </c>
      <c r="D21">
        <v>369</v>
      </c>
      <c r="F21">
        <v>15</v>
      </c>
      <c r="G21">
        <v>314</v>
      </c>
      <c r="H21">
        <v>0</v>
      </c>
    </row>
    <row r="22" spans="1:8" x14ac:dyDescent="0.35">
      <c r="A22" s="1">
        <f t="shared" si="1"/>
        <v>45433</v>
      </c>
      <c r="B22" s="1" t="str">
        <f t="shared" si="0"/>
        <v>יום שלישי</v>
      </c>
      <c r="C22">
        <v>403</v>
      </c>
      <c r="D22">
        <v>344</v>
      </c>
      <c r="F22">
        <v>13</v>
      </c>
      <c r="G22">
        <v>304</v>
      </c>
      <c r="H22">
        <v>0</v>
      </c>
    </row>
    <row r="23" spans="1:8" x14ac:dyDescent="0.35">
      <c r="A23" s="1">
        <f t="shared" si="1"/>
        <v>45434</v>
      </c>
      <c r="B23" s="1" t="str">
        <f t="shared" si="0"/>
        <v>יום רביעי</v>
      </c>
      <c r="C23">
        <v>369</v>
      </c>
      <c r="D23">
        <v>335</v>
      </c>
      <c r="F23">
        <v>13</v>
      </c>
      <c r="G23">
        <v>290</v>
      </c>
      <c r="H23">
        <v>0</v>
      </c>
    </row>
    <row r="24" spans="1:8" x14ac:dyDescent="0.35">
      <c r="A24" s="1">
        <f t="shared" si="1"/>
        <v>45435</v>
      </c>
      <c r="B24" s="1" t="str">
        <f t="shared" si="0"/>
        <v>יום חמישי</v>
      </c>
      <c r="C24">
        <v>275</v>
      </c>
      <c r="D24">
        <v>378</v>
      </c>
      <c r="F24">
        <v>13</v>
      </c>
      <c r="G24">
        <v>334</v>
      </c>
      <c r="H24">
        <v>0</v>
      </c>
    </row>
    <row r="25" spans="1:8" x14ac:dyDescent="0.35">
      <c r="A25" s="1">
        <f t="shared" si="1"/>
        <v>45436</v>
      </c>
      <c r="B25" s="1" t="str">
        <f t="shared" si="0"/>
        <v>יום שישי</v>
      </c>
      <c r="C25">
        <v>33</v>
      </c>
      <c r="D25">
        <v>0</v>
      </c>
      <c r="E25" t="s">
        <v>5</v>
      </c>
      <c r="F25">
        <v>0</v>
      </c>
      <c r="H25">
        <v>0</v>
      </c>
    </row>
    <row r="26" spans="1:8" x14ac:dyDescent="0.35">
      <c r="A26" s="1">
        <f t="shared" si="1"/>
        <v>45437</v>
      </c>
      <c r="B26" s="1" t="str">
        <f t="shared" si="0"/>
        <v>שבת</v>
      </c>
      <c r="C26">
        <v>12</v>
      </c>
      <c r="D26">
        <v>0</v>
      </c>
      <c r="E26" t="s">
        <v>5</v>
      </c>
      <c r="F26">
        <v>0</v>
      </c>
      <c r="H26">
        <v>0</v>
      </c>
    </row>
    <row r="27" spans="1:8" x14ac:dyDescent="0.35">
      <c r="A27" s="1">
        <f t="shared" si="1"/>
        <v>45438</v>
      </c>
      <c r="B27" s="1" t="str">
        <f t="shared" si="0"/>
        <v>יום ראשון</v>
      </c>
      <c r="C27">
        <v>448</v>
      </c>
      <c r="D27">
        <v>520</v>
      </c>
      <c r="F27">
        <v>15</v>
      </c>
      <c r="G27">
        <v>459</v>
      </c>
      <c r="H27">
        <v>0</v>
      </c>
    </row>
    <row r="28" spans="1:8" x14ac:dyDescent="0.35">
      <c r="A28" s="1">
        <f t="shared" si="1"/>
        <v>45439</v>
      </c>
      <c r="B28" s="1" t="str">
        <f t="shared" si="0"/>
        <v>יום שני</v>
      </c>
      <c r="C28">
        <v>389</v>
      </c>
      <c r="D28">
        <v>452</v>
      </c>
      <c r="F28">
        <v>15</v>
      </c>
      <c r="G28">
        <v>392</v>
      </c>
      <c r="H28">
        <v>0</v>
      </c>
    </row>
    <row r="29" spans="1:8" x14ac:dyDescent="0.35">
      <c r="A29" s="1">
        <f t="shared" si="1"/>
        <v>45440</v>
      </c>
      <c r="B29" s="1" t="str">
        <f t="shared" si="0"/>
        <v>יום שלישי</v>
      </c>
      <c r="C29">
        <v>309</v>
      </c>
      <c r="D29">
        <v>499</v>
      </c>
      <c r="E29" t="s">
        <v>6</v>
      </c>
      <c r="F29">
        <v>16</v>
      </c>
      <c r="G29">
        <v>401</v>
      </c>
      <c r="H29">
        <v>1</v>
      </c>
    </row>
    <row r="30" spans="1:8" x14ac:dyDescent="0.35">
      <c r="A30" s="1">
        <f t="shared" si="1"/>
        <v>45441</v>
      </c>
      <c r="B30" s="1" t="str">
        <f t="shared" si="0"/>
        <v>יום רביעי</v>
      </c>
      <c r="C30">
        <v>305</v>
      </c>
      <c r="D30">
        <v>463</v>
      </c>
      <c r="E30" t="s">
        <v>6</v>
      </c>
      <c r="F30">
        <v>16</v>
      </c>
      <c r="G30">
        <v>386</v>
      </c>
      <c r="H30">
        <v>1</v>
      </c>
    </row>
    <row r="31" spans="1:8" x14ac:dyDescent="0.35">
      <c r="A31" s="1">
        <f t="shared" si="1"/>
        <v>45442</v>
      </c>
      <c r="B31" s="1" t="str">
        <f t="shared" si="0"/>
        <v>יום חמישי</v>
      </c>
      <c r="C31">
        <v>313</v>
      </c>
      <c r="D31">
        <v>610</v>
      </c>
      <c r="E31" t="s">
        <v>6</v>
      </c>
      <c r="F31">
        <v>16</v>
      </c>
      <c r="G31">
        <v>494</v>
      </c>
      <c r="H31">
        <v>1</v>
      </c>
    </row>
    <row r="32" spans="1:8" x14ac:dyDescent="0.35">
      <c r="A32" s="1">
        <f t="shared" si="1"/>
        <v>45443</v>
      </c>
      <c r="B32" s="1" t="str">
        <f t="shared" si="0"/>
        <v>יום שישי</v>
      </c>
      <c r="C32">
        <v>24</v>
      </c>
      <c r="D32">
        <v>0</v>
      </c>
      <c r="E32" t="s">
        <v>5</v>
      </c>
      <c r="F32">
        <v>0</v>
      </c>
      <c r="H3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2F15-D1E2-4D67-A8DC-B0778D1231EC}">
  <dimension ref="A1:H31"/>
  <sheetViews>
    <sheetView rightToLeft="1" workbookViewId="0">
      <selection activeCell="B2" sqref="B2"/>
    </sheetView>
  </sheetViews>
  <sheetFormatPr defaultRowHeight="14.15" x14ac:dyDescent="0.35"/>
  <cols>
    <col min="1" max="1" width="9.85546875" bestFit="1" customWidth="1"/>
    <col min="7" max="7" width="17.85546875" bestFit="1" customWidth="1"/>
  </cols>
  <sheetData>
    <row r="1" spans="1:8" x14ac:dyDescent="0.35">
      <c r="A1" t="s">
        <v>2</v>
      </c>
      <c r="B1" t="s">
        <v>10</v>
      </c>
      <c r="C1" t="s">
        <v>0</v>
      </c>
      <c r="D1" t="s">
        <v>1</v>
      </c>
      <c r="E1" t="s">
        <v>3</v>
      </c>
      <c r="F1" t="s">
        <v>7</v>
      </c>
      <c r="G1" t="s">
        <v>8</v>
      </c>
      <c r="H1" t="s">
        <v>9</v>
      </c>
    </row>
    <row r="2" spans="1:8" x14ac:dyDescent="0.35">
      <c r="A2" s="1">
        <f>DATE(2024,6,1) + ROW(A1) - 1</f>
        <v>45444</v>
      </c>
      <c r="B2" s="1" t="str">
        <f t="shared" ref="B2:B31" si="0">TEXT(A2,"dddd")</f>
        <v>שבת</v>
      </c>
      <c r="C2">
        <v>11</v>
      </c>
      <c r="D2">
        <v>0</v>
      </c>
      <c r="E2" t="s">
        <v>5</v>
      </c>
      <c r="H2">
        <v>0</v>
      </c>
    </row>
    <row r="3" spans="1:8" x14ac:dyDescent="0.35">
      <c r="A3" s="1">
        <f t="shared" ref="A3:A31" si="1">DATE(2024,6,1) + ROW(A2) - 1</f>
        <v>45445</v>
      </c>
      <c r="B3" s="1" t="str">
        <f t="shared" si="0"/>
        <v>יום ראשון</v>
      </c>
      <c r="C3">
        <v>312</v>
      </c>
      <c r="D3">
        <v>561</v>
      </c>
      <c r="F3">
        <v>18</v>
      </c>
      <c r="G3">
        <v>477</v>
      </c>
      <c r="H3">
        <v>0</v>
      </c>
    </row>
    <row r="4" spans="1:8" x14ac:dyDescent="0.35">
      <c r="A4" s="1">
        <f t="shared" si="1"/>
        <v>45446</v>
      </c>
      <c r="B4" s="1" t="str">
        <f t="shared" si="0"/>
        <v>יום שני</v>
      </c>
      <c r="C4">
        <v>209</v>
      </c>
      <c r="D4">
        <v>259</v>
      </c>
      <c r="F4">
        <v>12</v>
      </c>
      <c r="G4">
        <v>231</v>
      </c>
      <c r="H4">
        <v>0</v>
      </c>
    </row>
    <row r="5" spans="1:8" x14ac:dyDescent="0.35">
      <c r="A5" s="1">
        <f t="shared" si="1"/>
        <v>45447</v>
      </c>
      <c r="B5" s="1" t="str">
        <f t="shared" si="0"/>
        <v>יום שלישי</v>
      </c>
      <c r="C5">
        <v>170</v>
      </c>
      <c r="D5">
        <v>216</v>
      </c>
      <c r="F5">
        <v>13</v>
      </c>
      <c r="G5">
        <v>195</v>
      </c>
      <c r="H5">
        <v>0</v>
      </c>
    </row>
    <row r="6" spans="1:8" x14ac:dyDescent="0.35">
      <c r="A6" s="1">
        <f t="shared" si="1"/>
        <v>45448</v>
      </c>
      <c r="B6" s="1" t="str">
        <f t="shared" si="0"/>
        <v>יום רביעי</v>
      </c>
      <c r="C6">
        <v>174</v>
      </c>
      <c r="D6">
        <v>178</v>
      </c>
      <c r="F6">
        <v>17</v>
      </c>
      <c r="G6">
        <v>160</v>
      </c>
      <c r="H6">
        <v>0</v>
      </c>
    </row>
    <row r="7" spans="1:8" x14ac:dyDescent="0.35">
      <c r="A7" s="1">
        <f t="shared" si="1"/>
        <v>45449</v>
      </c>
      <c r="B7" s="1" t="str">
        <f t="shared" si="0"/>
        <v>יום חמישי</v>
      </c>
      <c r="C7">
        <v>243</v>
      </c>
      <c r="D7">
        <v>389</v>
      </c>
      <c r="F7">
        <v>17</v>
      </c>
      <c r="G7">
        <v>336</v>
      </c>
      <c r="H7">
        <v>0</v>
      </c>
    </row>
    <row r="8" spans="1:8" x14ac:dyDescent="0.35">
      <c r="A8" s="1">
        <f t="shared" si="1"/>
        <v>45450</v>
      </c>
      <c r="B8" s="1" t="str">
        <f t="shared" si="0"/>
        <v>יום שישי</v>
      </c>
      <c r="C8">
        <v>27</v>
      </c>
      <c r="D8">
        <v>0</v>
      </c>
      <c r="E8" t="s">
        <v>5</v>
      </c>
      <c r="F8">
        <v>0</v>
      </c>
      <c r="H8">
        <v>0</v>
      </c>
    </row>
    <row r="9" spans="1:8" x14ac:dyDescent="0.35">
      <c r="A9" s="1">
        <f t="shared" si="1"/>
        <v>45451</v>
      </c>
      <c r="B9" s="1" t="str">
        <f t="shared" si="0"/>
        <v>שבת</v>
      </c>
      <c r="C9">
        <v>7</v>
      </c>
      <c r="D9">
        <v>0</v>
      </c>
      <c r="E9" t="s">
        <v>5</v>
      </c>
      <c r="F9">
        <v>0</v>
      </c>
      <c r="H9">
        <v>0</v>
      </c>
    </row>
    <row r="10" spans="1:8" x14ac:dyDescent="0.35">
      <c r="A10" s="1">
        <f t="shared" si="1"/>
        <v>45452</v>
      </c>
      <c r="B10" s="1" t="str">
        <f t="shared" si="0"/>
        <v>יום ראשון</v>
      </c>
      <c r="C10">
        <v>324</v>
      </c>
      <c r="D10">
        <v>388</v>
      </c>
      <c r="E10" t="s">
        <v>4</v>
      </c>
      <c r="F10">
        <v>17</v>
      </c>
      <c r="G10">
        <v>339</v>
      </c>
      <c r="H10">
        <v>1</v>
      </c>
    </row>
    <row r="11" spans="1:8" x14ac:dyDescent="0.35">
      <c r="A11" s="1">
        <f t="shared" si="1"/>
        <v>45453</v>
      </c>
      <c r="B11" s="1" t="str">
        <f t="shared" si="0"/>
        <v>יום שני</v>
      </c>
      <c r="C11">
        <v>364</v>
      </c>
      <c r="D11">
        <v>315</v>
      </c>
      <c r="E11" t="s">
        <v>4</v>
      </c>
      <c r="F11">
        <v>17</v>
      </c>
      <c r="G11">
        <v>272</v>
      </c>
      <c r="H11">
        <v>1</v>
      </c>
    </row>
    <row r="12" spans="1:8" x14ac:dyDescent="0.35">
      <c r="A12" s="1">
        <f t="shared" si="1"/>
        <v>45454</v>
      </c>
      <c r="B12" s="1" t="str">
        <f t="shared" si="0"/>
        <v>יום שלישי</v>
      </c>
      <c r="C12">
        <v>35</v>
      </c>
      <c r="D12">
        <v>0</v>
      </c>
      <c r="E12" t="s">
        <v>5</v>
      </c>
      <c r="F12">
        <v>0</v>
      </c>
      <c r="H12">
        <v>0</v>
      </c>
    </row>
    <row r="13" spans="1:8" x14ac:dyDescent="0.35">
      <c r="A13" s="1">
        <f t="shared" si="1"/>
        <v>45455</v>
      </c>
      <c r="B13" s="1" t="str">
        <f t="shared" si="0"/>
        <v>יום רביעי</v>
      </c>
      <c r="C13">
        <v>16</v>
      </c>
      <c r="D13">
        <v>0</v>
      </c>
      <c r="E13" t="s">
        <v>5</v>
      </c>
      <c r="F13">
        <v>0</v>
      </c>
      <c r="H13">
        <v>0</v>
      </c>
    </row>
    <row r="14" spans="1:8" x14ac:dyDescent="0.35">
      <c r="A14" s="1">
        <f t="shared" si="1"/>
        <v>45456</v>
      </c>
      <c r="B14" s="1" t="str">
        <f t="shared" si="0"/>
        <v>יום חמישי</v>
      </c>
      <c r="C14">
        <v>354</v>
      </c>
      <c r="D14">
        <v>358</v>
      </c>
      <c r="E14" t="s">
        <v>4</v>
      </c>
      <c r="F14">
        <v>14</v>
      </c>
      <c r="G14">
        <v>312</v>
      </c>
      <c r="H14">
        <v>1</v>
      </c>
    </row>
    <row r="15" spans="1:8" x14ac:dyDescent="0.35">
      <c r="A15" s="1">
        <f t="shared" si="1"/>
        <v>45457</v>
      </c>
      <c r="B15" s="1" t="str">
        <f t="shared" si="0"/>
        <v>יום שישי</v>
      </c>
      <c r="C15">
        <v>26</v>
      </c>
      <c r="D15">
        <v>0</v>
      </c>
      <c r="E15" t="s">
        <v>5</v>
      </c>
      <c r="F15">
        <v>0</v>
      </c>
      <c r="H15">
        <v>0</v>
      </c>
    </row>
    <row r="16" spans="1:8" x14ac:dyDescent="0.35">
      <c r="A16" s="1">
        <f t="shared" si="1"/>
        <v>45458</v>
      </c>
      <c r="B16" s="1" t="str">
        <f t="shared" si="0"/>
        <v>שבת</v>
      </c>
      <c r="C16">
        <v>12</v>
      </c>
      <c r="D16">
        <v>0</v>
      </c>
      <c r="E16" t="s">
        <v>5</v>
      </c>
      <c r="F16">
        <v>0</v>
      </c>
      <c r="H16">
        <v>0</v>
      </c>
    </row>
    <row r="17" spans="1:8" x14ac:dyDescent="0.35">
      <c r="A17" s="1">
        <f t="shared" si="1"/>
        <v>45459</v>
      </c>
      <c r="B17" s="1" t="str">
        <f t="shared" si="0"/>
        <v>יום ראשון</v>
      </c>
      <c r="C17">
        <v>551</v>
      </c>
      <c r="D17">
        <v>406</v>
      </c>
      <c r="F17">
        <v>16</v>
      </c>
      <c r="G17">
        <v>354</v>
      </c>
      <c r="H17">
        <v>0</v>
      </c>
    </row>
    <row r="18" spans="1:8" x14ac:dyDescent="0.35">
      <c r="A18" s="1">
        <f t="shared" si="1"/>
        <v>45460</v>
      </c>
      <c r="B18" s="1" t="str">
        <f t="shared" si="0"/>
        <v>יום שני</v>
      </c>
      <c r="C18">
        <v>458</v>
      </c>
      <c r="D18">
        <v>367</v>
      </c>
      <c r="F18">
        <v>16</v>
      </c>
      <c r="G18">
        <v>306</v>
      </c>
      <c r="H18">
        <v>0</v>
      </c>
    </row>
    <row r="19" spans="1:8" x14ac:dyDescent="0.35">
      <c r="A19" s="1">
        <f t="shared" si="1"/>
        <v>45461</v>
      </c>
      <c r="B19" s="1" t="str">
        <f t="shared" si="0"/>
        <v>יום שלישי</v>
      </c>
      <c r="C19">
        <v>338</v>
      </c>
      <c r="D19">
        <v>400</v>
      </c>
      <c r="F19">
        <v>17</v>
      </c>
      <c r="G19">
        <v>342</v>
      </c>
      <c r="H19">
        <v>0</v>
      </c>
    </row>
    <row r="20" spans="1:8" x14ac:dyDescent="0.35">
      <c r="A20" s="1">
        <f t="shared" si="1"/>
        <v>45462</v>
      </c>
      <c r="B20" s="1" t="str">
        <f t="shared" si="0"/>
        <v>יום רביעי</v>
      </c>
      <c r="C20">
        <v>285</v>
      </c>
      <c r="D20">
        <v>280</v>
      </c>
      <c r="F20">
        <v>17</v>
      </c>
      <c r="G20">
        <v>254</v>
      </c>
      <c r="H20">
        <v>0</v>
      </c>
    </row>
    <row r="21" spans="1:8" x14ac:dyDescent="0.35">
      <c r="A21" s="1">
        <f t="shared" si="1"/>
        <v>45463</v>
      </c>
      <c r="B21" s="1" t="str">
        <f t="shared" si="0"/>
        <v>יום חמישי</v>
      </c>
      <c r="C21">
        <v>246</v>
      </c>
      <c r="D21">
        <v>263</v>
      </c>
      <c r="F21">
        <v>16</v>
      </c>
      <c r="G21">
        <v>231</v>
      </c>
      <c r="H21">
        <v>0</v>
      </c>
    </row>
    <row r="22" spans="1:8" x14ac:dyDescent="0.35">
      <c r="A22" s="1">
        <f t="shared" si="1"/>
        <v>45464</v>
      </c>
      <c r="B22" s="1" t="str">
        <f t="shared" si="0"/>
        <v>יום שישי</v>
      </c>
      <c r="C22">
        <v>26</v>
      </c>
      <c r="D22">
        <v>0</v>
      </c>
      <c r="E22" t="s">
        <v>5</v>
      </c>
      <c r="F22">
        <v>0</v>
      </c>
      <c r="H22">
        <v>0</v>
      </c>
    </row>
    <row r="23" spans="1:8" x14ac:dyDescent="0.35">
      <c r="A23" s="1">
        <f t="shared" si="1"/>
        <v>45465</v>
      </c>
      <c r="B23" s="1" t="str">
        <f t="shared" si="0"/>
        <v>שבת</v>
      </c>
      <c r="C23">
        <v>3</v>
      </c>
      <c r="D23">
        <v>0</v>
      </c>
      <c r="E23" t="s">
        <v>5</v>
      </c>
      <c r="F23">
        <v>0</v>
      </c>
      <c r="H23">
        <v>0</v>
      </c>
    </row>
    <row r="24" spans="1:8" x14ac:dyDescent="0.35">
      <c r="A24" s="1">
        <f t="shared" si="1"/>
        <v>45466</v>
      </c>
      <c r="B24" s="1" t="str">
        <f t="shared" si="0"/>
        <v>יום ראשון</v>
      </c>
      <c r="C24">
        <v>390</v>
      </c>
      <c r="D24">
        <v>351</v>
      </c>
      <c r="F24">
        <v>16</v>
      </c>
      <c r="G24">
        <v>292</v>
      </c>
      <c r="H24">
        <v>0</v>
      </c>
    </row>
    <row r="25" spans="1:8" x14ac:dyDescent="0.35">
      <c r="A25" s="1">
        <f t="shared" si="1"/>
        <v>45467</v>
      </c>
      <c r="B25" s="1" t="str">
        <f t="shared" si="0"/>
        <v>יום שני</v>
      </c>
      <c r="C25">
        <v>340</v>
      </c>
      <c r="D25">
        <v>304</v>
      </c>
      <c r="F25">
        <v>16</v>
      </c>
      <c r="G25">
        <v>269</v>
      </c>
      <c r="H25">
        <v>0</v>
      </c>
    </row>
    <row r="26" spans="1:8" x14ac:dyDescent="0.35">
      <c r="A26" s="1">
        <f t="shared" si="1"/>
        <v>45468</v>
      </c>
      <c r="B26" s="1" t="str">
        <f t="shared" si="0"/>
        <v>יום שלישי</v>
      </c>
      <c r="C26">
        <v>351</v>
      </c>
      <c r="D26">
        <v>393</v>
      </c>
      <c r="F26">
        <v>16</v>
      </c>
      <c r="G26">
        <v>336</v>
      </c>
      <c r="H26">
        <v>0</v>
      </c>
    </row>
    <row r="27" spans="1:8" x14ac:dyDescent="0.35">
      <c r="A27" s="1">
        <f t="shared" si="1"/>
        <v>45469</v>
      </c>
      <c r="B27" s="1" t="str">
        <f t="shared" si="0"/>
        <v>יום רביעי</v>
      </c>
      <c r="C27">
        <v>332</v>
      </c>
      <c r="D27">
        <v>487</v>
      </c>
      <c r="F27">
        <v>18</v>
      </c>
      <c r="G27">
        <v>400</v>
      </c>
      <c r="H27">
        <v>0</v>
      </c>
    </row>
    <row r="28" spans="1:8" x14ac:dyDescent="0.35">
      <c r="A28" s="1">
        <f t="shared" si="1"/>
        <v>45470</v>
      </c>
      <c r="B28" s="1" t="str">
        <f t="shared" si="0"/>
        <v>יום חמישי</v>
      </c>
      <c r="C28">
        <v>346</v>
      </c>
      <c r="D28">
        <v>439</v>
      </c>
      <c r="F28">
        <v>17</v>
      </c>
      <c r="G28">
        <v>363</v>
      </c>
      <c r="H28">
        <v>0</v>
      </c>
    </row>
    <row r="29" spans="1:8" x14ac:dyDescent="0.35">
      <c r="A29" s="1">
        <f t="shared" si="1"/>
        <v>45471</v>
      </c>
      <c r="B29" s="1" t="str">
        <f t="shared" si="0"/>
        <v>יום שישי</v>
      </c>
      <c r="C29">
        <v>27</v>
      </c>
      <c r="D29">
        <v>0</v>
      </c>
      <c r="E29" t="s">
        <v>5</v>
      </c>
      <c r="F29">
        <v>0</v>
      </c>
      <c r="H29">
        <v>0</v>
      </c>
    </row>
    <row r="30" spans="1:8" x14ac:dyDescent="0.35">
      <c r="A30" s="1">
        <f t="shared" si="1"/>
        <v>45472</v>
      </c>
      <c r="B30" s="1" t="str">
        <f t="shared" si="0"/>
        <v>שבת</v>
      </c>
      <c r="C30">
        <v>12</v>
      </c>
      <c r="D30">
        <v>0</v>
      </c>
      <c r="E30" t="s">
        <v>5</v>
      </c>
      <c r="F30">
        <v>0</v>
      </c>
      <c r="H30">
        <v>0</v>
      </c>
    </row>
    <row r="31" spans="1:8" x14ac:dyDescent="0.35">
      <c r="A31" s="1">
        <f t="shared" si="1"/>
        <v>45473</v>
      </c>
      <c r="B31" s="1" t="str">
        <f t="shared" si="0"/>
        <v>יום ראשון</v>
      </c>
      <c r="C31">
        <v>433</v>
      </c>
      <c r="D31">
        <v>608</v>
      </c>
      <c r="E31" t="s">
        <v>6</v>
      </c>
      <c r="F31">
        <v>14</v>
      </c>
      <c r="G31">
        <v>497</v>
      </c>
      <c r="H31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299AD-8E4C-4AC8-983E-D902F86B7806}">
  <dimension ref="A1:H32"/>
  <sheetViews>
    <sheetView rightToLeft="1" workbookViewId="0">
      <selection activeCell="G1" sqref="G1"/>
    </sheetView>
  </sheetViews>
  <sheetFormatPr defaultRowHeight="14.15" x14ac:dyDescent="0.35"/>
  <cols>
    <col min="1" max="1" width="9.85546875" bestFit="1" customWidth="1"/>
    <col min="2" max="2" width="9.85546875" customWidth="1"/>
    <col min="7" max="7" width="17.85546875" bestFit="1" customWidth="1"/>
  </cols>
  <sheetData>
    <row r="1" spans="1:8" x14ac:dyDescent="0.35">
      <c r="A1" t="s">
        <v>2</v>
      </c>
      <c r="B1" t="s">
        <v>10</v>
      </c>
      <c r="C1" t="s">
        <v>0</v>
      </c>
      <c r="D1" t="s">
        <v>1</v>
      </c>
      <c r="E1" t="s">
        <v>3</v>
      </c>
      <c r="F1" t="s">
        <v>7</v>
      </c>
      <c r="G1" t="s">
        <v>8</v>
      </c>
      <c r="H1" t="s">
        <v>9</v>
      </c>
    </row>
    <row r="2" spans="1:8" x14ac:dyDescent="0.35">
      <c r="A2" s="1">
        <f t="shared" ref="A2:A32" si="0">DATE(2025,1,1) + ROW(A1) - 1</f>
        <v>45658</v>
      </c>
      <c r="B2" s="1" t="str">
        <f t="shared" ref="B2:B32" si="1">TEXT(A2,"dddd")</f>
        <v>יום רביעי</v>
      </c>
      <c r="C2">
        <v>439</v>
      </c>
      <c r="D2">
        <v>769</v>
      </c>
      <c r="F2">
        <v>15</v>
      </c>
      <c r="G2">
        <v>556</v>
      </c>
      <c r="H2">
        <v>0</v>
      </c>
    </row>
    <row r="3" spans="1:8" x14ac:dyDescent="0.35">
      <c r="A3" s="1">
        <f t="shared" si="0"/>
        <v>45659</v>
      </c>
      <c r="B3" s="1" t="str">
        <f t="shared" si="1"/>
        <v>יום חמישי</v>
      </c>
      <c r="C3">
        <v>328</v>
      </c>
      <c r="D3">
        <v>370</v>
      </c>
      <c r="F3">
        <v>13</v>
      </c>
      <c r="G3">
        <v>317</v>
      </c>
      <c r="H3">
        <v>0</v>
      </c>
    </row>
    <row r="4" spans="1:8" x14ac:dyDescent="0.35">
      <c r="A4" s="1">
        <f t="shared" si="0"/>
        <v>45660</v>
      </c>
      <c r="B4" s="1" t="str">
        <f t="shared" si="1"/>
        <v>יום שישי</v>
      </c>
      <c r="C4">
        <v>0</v>
      </c>
      <c r="D4">
        <v>0</v>
      </c>
      <c r="E4" t="s">
        <v>5</v>
      </c>
      <c r="F4">
        <v>0</v>
      </c>
      <c r="H4">
        <v>0</v>
      </c>
    </row>
    <row r="5" spans="1:8" x14ac:dyDescent="0.35">
      <c r="A5" s="1">
        <f t="shared" si="0"/>
        <v>45661</v>
      </c>
      <c r="B5" s="1" t="str">
        <f t="shared" si="1"/>
        <v>שבת</v>
      </c>
      <c r="C5">
        <v>0</v>
      </c>
      <c r="D5">
        <v>0</v>
      </c>
      <c r="E5" t="s">
        <v>5</v>
      </c>
      <c r="F5">
        <v>0</v>
      </c>
      <c r="H5">
        <v>0</v>
      </c>
    </row>
    <row r="6" spans="1:8" x14ac:dyDescent="0.35">
      <c r="A6" s="1">
        <f t="shared" si="0"/>
        <v>45662</v>
      </c>
      <c r="B6" s="1" t="str">
        <f t="shared" si="1"/>
        <v>יום ראשון</v>
      </c>
      <c r="C6">
        <v>350</v>
      </c>
      <c r="D6">
        <v>367</v>
      </c>
      <c r="F6">
        <v>14</v>
      </c>
      <c r="G6">
        <v>327</v>
      </c>
      <c r="H6">
        <v>0</v>
      </c>
    </row>
    <row r="7" spans="1:8" x14ac:dyDescent="0.35">
      <c r="A7" s="1">
        <f t="shared" si="0"/>
        <v>45663</v>
      </c>
      <c r="B7" s="1" t="str">
        <f t="shared" si="1"/>
        <v>יום שני</v>
      </c>
      <c r="C7">
        <v>324</v>
      </c>
      <c r="D7">
        <v>304</v>
      </c>
      <c r="F7">
        <v>14</v>
      </c>
      <c r="H7">
        <v>0</v>
      </c>
    </row>
    <row r="8" spans="1:8" x14ac:dyDescent="0.35">
      <c r="A8" s="1">
        <f t="shared" si="0"/>
        <v>45664</v>
      </c>
      <c r="B8" s="1" t="str">
        <f t="shared" si="1"/>
        <v>יום שלישי</v>
      </c>
      <c r="C8">
        <v>430</v>
      </c>
      <c r="D8">
        <v>768</v>
      </c>
      <c r="E8" t="s">
        <v>4</v>
      </c>
      <c r="F8">
        <v>17</v>
      </c>
      <c r="G8">
        <v>620</v>
      </c>
      <c r="H8">
        <v>1</v>
      </c>
    </row>
    <row r="9" spans="1:8" x14ac:dyDescent="0.35">
      <c r="A9" s="1">
        <f t="shared" si="0"/>
        <v>45665</v>
      </c>
      <c r="B9" s="1" t="str">
        <f t="shared" si="1"/>
        <v>יום רביעי</v>
      </c>
      <c r="C9">
        <v>430</v>
      </c>
      <c r="D9">
        <v>513</v>
      </c>
      <c r="E9" t="s">
        <v>4</v>
      </c>
      <c r="F9">
        <v>15</v>
      </c>
      <c r="G9">
        <v>433</v>
      </c>
      <c r="H9">
        <v>1</v>
      </c>
    </row>
    <row r="10" spans="1:8" x14ac:dyDescent="0.35">
      <c r="A10" s="1">
        <f t="shared" si="0"/>
        <v>45666</v>
      </c>
      <c r="B10" s="1" t="str">
        <f t="shared" si="1"/>
        <v>יום חמישי</v>
      </c>
      <c r="C10">
        <v>343</v>
      </c>
      <c r="D10">
        <v>427</v>
      </c>
      <c r="E10" t="s">
        <v>4</v>
      </c>
      <c r="F10">
        <v>15</v>
      </c>
      <c r="G10">
        <v>352</v>
      </c>
      <c r="H10">
        <v>1</v>
      </c>
    </row>
    <row r="11" spans="1:8" x14ac:dyDescent="0.35">
      <c r="A11" s="1">
        <f t="shared" si="0"/>
        <v>45667</v>
      </c>
      <c r="B11" s="1" t="str">
        <f t="shared" si="1"/>
        <v>יום שישי</v>
      </c>
      <c r="C11">
        <v>0</v>
      </c>
      <c r="D11">
        <v>0</v>
      </c>
      <c r="E11" t="s">
        <v>5</v>
      </c>
      <c r="F11">
        <v>0</v>
      </c>
      <c r="H11">
        <v>0</v>
      </c>
    </row>
    <row r="12" spans="1:8" x14ac:dyDescent="0.35">
      <c r="A12" s="1">
        <f t="shared" si="0"/>
        <v>45668</v>
      </c>
      <c r="B12" s="1" t="str">
        <f t="shared" si="1"/>
        <v>שבת</v>
      </c>
      <c r="C12">
        <v>0</v>
      </c>
      <c r="D12">
        <v>0</v>
      </c>
      <c r="E12" t="s">
        <v>5</v>
      </c>
      <c r="F12">
        <v>0</v>
      </c>
      <c r="H12">
        <v>0</v>
      </c>
    </row>
    <row r="13" spans="1:8" x14ac:dyDescent="0.35">
      <c r="A13" s="1">
        <f t="shared" si="0"/>
        <v>45669</v>
      </c>
      <c r="B13" s="1" t="str">
        <f t="shared" si="1"/>
        <v>יום ראשון</v>
      </c>
      <c r="C13">
        <v>596</v>
      </c>
      <c r="D13">
        <v>454</v>
      </c>
      <c r="E13" t="s">
        <v>4</v>
      </c>
      <c r="F13">
        <v>11</v>
      </c>
      <c r="G13">
        <v>391</v>
      </c>
      <c r="H13">
        <v>1</v>
      </c>
    </row>
    <row r="14" spans="1:8" x14ac:dyDescent="0.35">
      <c r="A14" s="1">
        <f t="shared" si="0"/>
        <v>45670</v>
      </c>
      <c r="B14" s="1" t="str">
        <f t="shared" si="1"/>
        <v>יום שני</v>
      </c>
      <c r="C14">
        <v>392</v>
      </c>
      <c r="D14">
        <v>381</v>
      </c>
      <c r="E14" t="s">
        <v>4</v>
      </c>
      <c r="F14">
        <v>11</v>
      </c>
      <c r="G14">
        <v>335</v>
      </c>
      <c r="H14">
        <v>1</v>
      </c>
    </row>
    <row r="15" spans="1:8" x14ac:dyDescent="0.35">
      <c r="A15" s="1">
        <f t="shared" si="0"/>
        <v>45671</v>
      </c>
      <c r="B15" s="1" t="str">
        <f t="shared" si="1"/>
        <v>יום שלישי</v>
      </c>
      <c r="C15">
        <v>384</v>
      </c>
      <c r="D15">
        <v>365</v>
      </c>
      <c r="F15">
        <v>14</v>
      </c>
      <c r="G15">
        <v>299</v>
      </c>
      <c r="H15">
        <v>0</v>
      </c>
    </row>
    <row r="16" spans="1:8" x14ac:dyDescent="0.35">
      <c r="A16" s="1">
        <f t="shared" si="0"/>
        <v>45672</v>
      </c>
      <c r="B16" s="1" t="str">
        <f t="shared" si="1"/>
        <v>יום רביעי</v>
      </c>
      <c r="C16">
        <v>286</v>
      </c>
      <c r="D16">
        <v>323</v>
      </c>
      <c r="F16">
        <v>15</v>
      </c>
      <c r="G16">
        <v>277</v>
      </c>
      <c r="H16">
        <v>0</v>
      </c>
    </row>
    <row r="17" spans="1:8" x14ac:dyDescent="0.35">
      <c r="A17" s="1">
        <f t="shared" si="0"/>
        <v>45673</v>
      </c>
      <c r="B17" s="1" t="str">
        <f t="shared" si="1"/>
        <v>יום חמישי</v>
      </c>
      <c r="C17">
        <v>309</v>
      </c>
      <c r="D17">
        <v>295</v>
      </c>
      <c r="F17">
        <v>16</v>
      </c>
      <c r="G17">
        <v>255</v>
      </c>
      <c r="H17">
        <v>0</v>
      </c>
    </row>
    <row r="18" spans="1:8" x14ac:dyDescent="0.35">
      <c r="A18" s="1">
        <f t="shared" si="0"/>
        <v>45674</v>
      </c>
      <c r="B18" s="1" t="str">
        <f t="shared" si="1"/>
        <v>יום שישי</v>
      </c>
      <c r="C18">
        <v>0</v>
      </c>
      <c r="D18">
        <v>0</v>
      </c>
      <c r="E18" t="s">
        <v>5</v>
      </c>
      <c r="F18">
        <v>0</v>
      </c>
      <c r="H18">
        <v>0</v>
      </c>
    </row>
    <row r="19" spans="1:8" x14ac:dyDescent="0.35">
      <c r="A19" s="1">
        <f t="shared" si="0"/>
        <v>45675</v>
      </c>
      <c r="B19" s="1" t="str">
        <f t="shared" si="1"/>
        <v>שבת</v>
      </c>
      <c r="C19">
        <v>0</v>
      </c>
      <c r="D19">
        <v>0</v>
      </c>
      <c r="E19" t="s">
        <v>5</v>
      </c>
      <c r="F19">
        <v>0</v>
      </c>
      <c r="H19">
        <v>0</v>
      </c>
    </row>
    <row r="20" spans="1:8" x14ac:dyDescent="0.35">
      <c r="A20" s="1">
        <f t="shared" si="0"/>
        <v>45676</v>
      </c>
      <c r="B20" s="1" t="str">
        <f t="shared" si="1"/>
        <v>יום ראשון</v>
      </c>
      <c r="C20">
        <v>491</v>
      </c>
      <c r="D20">
        <v>360</v>
      </c>
      <c r="F20">
        <v>15</v>
      </c>
      <c r="G20">
        <v>308</v>
      </c>
      <c r="H20">
        <v>0</v>
      </c>
    </row>
    <row r="21" spans="1:8" x14ac:dyDescent="0.35">
      <c r="A21" s="1">
        <f t="shared" si="0"/>
        <v>45677</v>
      </c>
      <c r="B21" s="1" t="str">
        <f t="shared" si="1"/>
        <v>יום שני</v>
      </c>
      <c r="C21">
        <v>314</v>
      </c>
      <c r="D21">
        <v>298</v>
      </c>
      <c r="F21">
        <v>11</v>
      </c>
      <c r="G21">
        <v>248</v>
      </c>
      <c r="H21">
        <v>0</v>
      </c>
    </row>
    <row r="22" spans="1:8" x14ac:dyDescent="0.35">
      <c r="A22" s="1">
        <f t="shared" si="0"/>
        <v>45678</v>
      </c>
      <c r="B22" s="1" t="str">
        <f t="shared" si="1"/>
        <v>יום שלישי</v>
      </c>
      <c r="C22">
        <v>401</v>
      </c>
      <c r="D22">
        <v>318</v>
      </c>
      <c r="F22">
        <v>13</v>
      </c>
      <c r="G22">
        <v>261</v>
      </c>
      <c r="H22">
        <v>0</v>
      </c>
    </row>
    <row r="23" spans="1:8" x14ac:dyDescent="0.35">
      <c r="A23" s="1">
        <f t="shared" si="0"/>
        <v>45679</v>
      </c>
      <c r="B23" s="1" t="str">
        <f t="shared" si="1"/>
        <v>יום רביעי</v>
      </c>
      <c r="C23">
        <v>291</v>
      </c>
      <c r="D23">
        <v>295</v>
      </c>
      <c r="F23">
        <v>9</v>
      </c>
      <c r="G23">
        <v>251</v>
      </c>
      <c r="H23">
        <v>0</v>
      </c>
    </row>
    <row r="24" spans="1:8" x14ac:dyDescent="0.35">
      <c r="A24" s="1">
        <f t="shared" si="0"/>
        <v>45680</v>
      </c>
      <c r="B24" s="1" t="str">
        <f t="shared" si="1"/>
        <v>יום חמישי</v>
      </c>
      <c r="C24">
        <v>378</v>
      </c>
      <c r="D24">
        <v>316</v>
      </c>
      <c r="F24">
        <v>12</v>
      </c>
      <c r="G24">
        <v>262</v>
      </c>
      <c r="H24">
        <v>0</v>
      </c>
    </row>
    <row r="25" spans="1:8" x14ac:dyDescent="0.35">
      <c r="A25" s="1">
        <f t="shared" si="0"/>
        <v>45681</v>
      </c>
      <c r="B25" s="1" t="str">
        <f t="shared" si="1"/>
        <v>יום שישי</v>
      </c>
      <c r="C25">
        <v>0</v>
      </c>
      <c r="D25">
        <v>0</v>
      </c>
      <c r="E25" t="s">
        <v>5</v>
      </c>
      <c r="F25">
        <v>0</v>
      </c>
      <c r="H25">
        <v>0</v>
      </c>
    </row>
    <row r="26" spans="1:8" x14ac:dyDescent="0.35">
      <c r="A26" s="1">
        <f t="shared" si="0"/>
        <v>45682</v>
      </c>
      <c r="B26" s="1" t="str">
        <f t="shared" si="1"/>
        <v>שבת</v>
      </c>
      <c r="C26">
        <v>0</v>
      </c>
      <c r="D26">
        <v>0</v>
      </c>
      <c r="E26" t="s">
        <v>5</v>
      </c>
      <c r="F26">
        <v>0</v>
      </c>
      <c r="H26">
        <v>0</v>
      </c>
    </row>
    <row r="27" spans="1:8" x14ac:dyDescent="0.35">
      <c r="A27" s="1">
        <f t="shared" si="0"/>
        <v>45683</v>
      </c>
      <c r="B27" s="1" t="str">
        <f t="shared" si="1"/>
        <v>יום ראשון</v>
      </c>
      <c r="C27">
        <v>382</v>
      </c>
      <c r="D27">
        <v>377</v>
      </c>
      <c r="F27">
        <v>13</v>
      </c>
      <c r="G27">
        <v>303</v>
      </c>
      <c r="H27">
        <v>0</v>
      </c>
    </row>
    <row r="28" spans="1:8" x14ac:dyDescent="0.35">
      <c r="A28" s="1">
        <f t="shared" si="0"/>
        <v>45684</v>
      </c>
      <c r="B28" s="1" t="str">
        <f t="shared" si="1"/>
        <v>יום שני</v>
      </c>
      <c r="C28">
        <v>337</v>
      </c>
      <c r="D28">
        <v>338</v>
      </c>
      <c r="F28">
        <v>14</v>
      </c>
      <c r="G28">
        <v>290</v>
      </c>
      <c r="H28">
        <v>0</v>
      </c>
    </row>
    <row r="29" spans="1:8" x14ac:dyDescent="0.35">
      <c r="A29" s="1">
        <f t="shared" si="0"/>
        <v>45685</v>
      </c>
      <c r="B29" s="1" t="str">
        <f t="shared" si="1"/>
        <v>יום שלישי</v>
      </c>
      <c r="C29">
        <v>375</v>
      </c>
      <c r="D29">
        <v>331</v>
      </c>
      <c r="E29" t="s">
        <v>6</v>
      </c>
      <c r="F29">
        <v>13</v>
      </c>
      <c r="G29">
        <v>274</v>
      </c>
      <c r="H29">
        <v>1</v>
      </c>
    </row>
    <row r="30" spans="1:8" x14ac:dyDescent="0.35">
      <c r="A30" s="1">
        <f t="shared" si="0"/>
        <v>45686</v>
      </c>
      <c r="B30" s="1" t="str">
        <f t="shared" si="1"/>
        <v>יום רביעי</v>
      </c>
      <c r="C30">
        <v>347</v>
      </c>
      <c r="D30">
        <v>351</v>
      </c>
      <c r="E30" t="s">
        <v>6</v>
      </c>
      <c r="F30">
        <v>16</v>
      </c>
      <c r="G30">
        <v>280</v>
      </c>
      <c r="H30">
        <v>1</v>
      </c>
    </row>
    <row r="31" spans="1:8" x14ac:dyDescent="0.35">
      <c r="A31" s="1">
        <f t="shared" si="0"/>
        <v>45687</v>
      </c>
      <c r="B31" s="1" t="str">
        <f t="shared" si="1"/>
        <v>יום חמישי</v>
      </c>
      <c r="C31">
        <v>345</v>
      </c>
      <c r="D31">
        <v>409</v>
      </c>
      <c r="E31" t="s">
        <v>6</v>
      </c>
      <c r="F31">
        <v>15</v>
      </c>
      <c r="G31">
        <v>327</v>
      </c>
      <c r="H31">
        <v>1</v>
      </c>
    </row>
    <row r="32" spans="1:8" x14ac:dyDescent="0.35">
      <c r="A32" s="1">
        <f t="shared" si="0"/>
        <v>45688</v>
      </c>
      <c r="B32" s="1" t="str">
        <f t="shared" si="1"/>
        <v>יום שישי</v>
      </c>
      <c r="C32">
        <v>0</v>
      </c>
      <c r="D32">
        <v>0</v>
      </c>
      <c r="E32" t="s">
        <v>5</v>
      </c>
      <c r="F32">
        <v>0</v>
      </c>
      <c r="H32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4483-D03C-42AD-965A-FAC4980D480C}">
  <dimension ref="A1:H29"/>
  <sheetViews>
    <sheetView rightToLeft="1" workbookViewId="0">
      <selection activeCell="B3" sqref="B3"/>
    </sheetView>
  </sheetViews>
  <sheetFormatPr defaultRowHeight="14.15" x14ac:dyDescent="0.35"/>
  <cols>
    <col min="1" max="1" width="9.85546875" bestFit="1" customWidth="1"/>
    <col min="7" max="7" width="17.85546875" bestFit="1" customWidth="1"/>
  </cols>
  <sheetData>
    <row r="1" spans="1:8" x14ac:dyDescent="0.35">
      <c r="A1" t="s">
        <v>2</v>
      </c>
      <c r="B1" t="s">
        <v>10</v>
      </c>
      <c r="C1" t="s">
        <v>0</v>
      </c>
      <c r="D1" t="s">
        <v>1</v>
      </c>
      <c r="E1" t="s">
        <v>3</v>
      </c>
      <c r="F1" t="s">
        <v>7</v>
      </c>
      <c r="G1" t="s">
        <v>8</v>
      </c>
      <c r="H1" t="s">
        <v>9</v>
      </c>
    </row>
    <row r="2" spans="1:8" x14ac:dyDescent="0.35">
      <c r="A2" s="1">
        <f t="shared" ref="A2:A29" si="0">DATE(2025,2,1) + ROW(A1) - 1</f>
        <v>45689</v>
      </c>
      <c r="B2" s="1" t="str">
        <f t="shared" ref="B2:B29" si="1">TEXT(A2,"dddd")</f>
        <v>שבת</v>
      </c>
      <c r="C2">
        <v>0</v>
      </c>
      <c r="D2">
        <v>0</v>
      </c>
      <c r="E2" t="s">
        <v>5</v>
      </c>
      <c r="F2">
        <v>0</v>
      </c>
      <c r="H2">
        <v>0</v>
      </c>
    </row>
    <row r="3" spans="1:8" x14ac:dyDescent="0.35">
      <c r="A3" s="1">
        <f t="shared" si="0"/>
        <v>45690</v>
      </c>
      <c r="B3" s="1" t="str">
        <f t="shared" si="1"/>
        <v>יום ראשון</v>
      </c>
      <c r="C3">
        <v>355</v>
      </c>
      <c r="D3">
        <v>443</v>
      </c>
      <c r="F3">
        <v>13</v>
      </c>
      <c r="G3">
        <v>369</v>
      </c>
      <c r="H3">
        <v>0</v>
      </c>
    </row>
    <row r="4" spans="1:8" x14ac:dyDescent="0.35">
      <c r="A4" s="1">
        <f t="shared" si="0"/>
        <v>45691</v>
      </c>
      <c r="B4" s="1" t="str">
        <f t="shared" si="1"/>
        <v>יום שני</v>
      </c>
      <c r="C4">
        <v>262</v>
      </c>
      <c r="D4">
        <v>277</v>
      </c>
      <c r="F4">
        <v>13</v>
      </c>
      <c r="G4">
        <v>239</v>
      </c>
      <c r="H4">
        <v>0</v>
      </c>
    </row>
    <row r="5" spans="1:8" x14ac:dyDescent="0.35">
      <c r="A5" s="1">
        <f t="shared" si="0"/>
        <v>45692</v>
      </c>
      <c r="B5" s="1" t="str">
        <f t="shared" si="1"/>
        <v>יום שלישי</v>
      </c>
      <c r="C5">
        <v>253</v>
      </c>
      <c r="D5">
        <v>255</v>
      </c>
      <c r="F5">
        <v>12</v>
      </c>
      <c r="G5">
        <v>214</v>
      </c>
      <c r="H5">
        <v>0</v>
      </c>
    </row>
    <row r="6" spans="1:8" x14ac:dyDescent="0.35">
      <c r="A6" s="1">
        <f t="shared" si="0"/>
        <v>45693</v>
      </c>
      <c r="B6" s="1" t="str">
        <f t="shared" si="1"/>
        <v>יום רביעי</v>
      </c>
      <c r="C6">
        <v>252</v>
      </c>
      <c r="D6">
        <v>301</v>
      </c>
      <c r="F6">
        <v>13</v>
      </c>
      <c r="G6">
        <v>265</v>
      </c>
      <c r="H6">
        <v>0</v>
      </c>
    </row>
    <row r="7" spans="1:8" x14ac:dyDescent="0.35">
      <c r="A7" s="1">
        <f t="shared" si="0"/>
        <v>45694</v>
      </c>
      <c r="B7" s="1" t="str">
        <f t="shared" si="1"/>
        <v>יום חמישי</v>
      </c>
      <c r="C7">
        <v>413</v>
      </c>
      <c r="D7">
        <v>461</v>
      </c>
      <c r="F7">
        <v>13</v>
      </c>
      <c r="G7">
        <v>389</v>
      </c>
      <c r="H7">
        <v>0</v>
      </c>
    </row>
    <row r="8" spans="1:8" x14ac:dyDescent="0.35">
      <c r="A8" s="1">
        <f t="shared" si="0"/>
        <v>45695</v>
      </c>
      <c r="B8" s="1" t="str">
        <f t="shared" si="1"/>
        <v>יום שישי</v>
      </c>
      <c r="C8">
        <v>0</v>
      </c>
      <c r="D8">
        <v>0</v>
      </c>
      <c r="E8" t="s">
        <v>5</v>
      </c>
      <c r="F8">
        <v>0</v>
      </c>
      <c r="H8">
        <v>0</v>
      </c>
    </row>
    <row r="9" spans="1:8" x14ac:dyDescent="0.35">
      <c r="A9" s="1">
        <f t="shared" si="0"/>
        <v>45696</v>
      </c>
      <c r="B9" s="1" t="str">
        <f t="shared" si="1"/>
        <v>שבת</v>
      </c>
      <c r="C9">
        <v>0</v>
      </c>
      <c r="D9">
        <v>0</v>
      </c>
      <c r="E9" t="s">
        <v>5</v>
      </c>
      <c r="F9">
        <v>0</v>
      </c>
      <c r="H9">
        <v>0</v>
      </c>
    </row>
    <row r="10" spans="1:8" x14ac:dyDescent="0.35">
      <c r="A10" s="1">
        <f t="shared" si="0"/>
        <v>45697</v>
      </c>
      <c r="B10" s="1" t="str">
        <f t="shared" si="1"/>
        <v>יום ראשון</v>
      </c>
      <c r="C10">
        <v>515</v>
      </c>
      <c r="D10">
        <v>766</v>
      </c>
      <c r="E10" t="s">
        <v>4</v>
      </c>
      <c r="F10">
        <v>15</v>
      </c>
      <c r="G10">
        <v>600</v>
      </c>
      <c r="H10">
        <v>1</v>
      </c>
    </row>
    <row r="11" spans="1:8" x14ac:dyDescent="0.35">
      <c r="A11" s="1">
        <f t="shared" si="0"/>
        <v>45698</v>
      </c>
      <c r="B11" s="1" t="str">
        <f t="shared" si="1"/>
        <v>יום שני</v>
      </c>
      <c r="C11">
        <v>437</v>
      </c>
      <c r="D11">
        <v>468</v>
      </c>
      <c r="E11" t="s">
        <v>4</v>
      </c>
      <c r="F11">
        <v>13</v>
      </c>
      <c r="G11">
        <v>360</v>
      </c>
      <c r="H11">
        <v>1</v>
      </c>
    </row>
    <row r="12" spans="1:8" x14ac:dyDescent="0.35">
      <c r="A12" s="1">
        <f t="shared" si="0"/>
        <v>45699</v>
      </c>
      <c r="B12" s="1" t="str">
        <f t="shared" si="1"/>
        <v>יום שלישי</v>
      </c>
      <c r="C12">
        <v>399</v>
      </c>
      <c r="D12">
        <v>380</v>
      </c>
      <c r="E12" t="s">
        <v>4</v>
      </c>
      <c r="F12">
        <v>14</v>
      </c>
      <c r="G12">
        <v>326</v>
      </c>
      <c r="H12">
        <v>1</v>
      </c>
    </row>
    <row r="13" spans="1:8" x14ac:dyDescent="0.35">
      <c r="A13" s="1">
        <f t="shared" si="0"/>
        <v>45700</v>
      </c>
      <c r="B13" s="1" t="str">
        <f t="shared" si="1"/>
        <v>יום רביעי</v>
      </c>
      <c r="C13">
        <v>402</v>
      </c>
      <c r="D13">
        <v>476</v>
      </c>
      <c r="E13" t="s">
        <v>4</v>
      </c>
      <c r="F13">
        <v>13</v>
      </c>
      <c r="G13">
        <v>403</v>
      </c>
      <c r="H13">
        <v>1</v>
      </c>
    </row>
    <row r="14" spans="1:8" x14ac:dyDescent="0.35">
      <c r="A14" s="1">
        <f t="shared" si="0"/>
        <v>45701</v>
      </c>
      <c r="B14" s="1" t="str">
        <f t="shared" si="1"/>
        <v>יום חמישי</v>
      </c>
      <c r="C14">
        <v>359</v>
      </c>
      <c r="D14">
        <v>367</v>
      </c>
      <c r="E14" t="s">
        <v>4</v>
      </c>
      <c r="F14">
        <v>13</v>
      </c>
      <c r="G14">
        <v>299</v>
      </c>
      <c r="H14">
        <v>1</v>
      </c>
    </row>
    <row r="15" spans="1:8" x14ac:dyDescent="0.35">
      <c r="A15" s="1">
        <f t="shared" si="0"/>
        <v>45702</v>
      </c>
      <c r="B15" s="1" t="str">
        <f t="shared" si="1"/>
        <v>יום שישי</v>
      </c>
      <c r="C15">
        <v>0</v>
      </c>
      <c r="D15">
        <v>0</v>
      </c>
      <c r="E15" t="s">
        <v>5</v>
      </c>
      <c r="F15">
        <v>0</v>
      </c>
      <c r="H15">
        <v>0</v>
      </c>
    </row>
    <row r="16" spans="1:8" x14ac:dyDescent="0.35">
      <c r="A16" s="1">
        <f t="shared" si="0"/>
        <v>45703</v>
      </c>
      <c r="B16" s="1" t="str">
        <f t="shared" si="1"/>
        <v>שבת</v>
      </c>
      <c r="C16">
        <v>0</v>
      </c>
      <c r="D16">
        <v>0</v>
      </c>
      <c r="E16" t="s">
        <v>5</v>
      </c>
      <c r="F16">
        <v>0</v>
      </c>
      <c r="H16">
        <v>0</v>
      </c>
    </row>
    <row r="17" spans="1:8" x14ac:dyDescent="0.35">
      <c r="A17" s="1">
        <f t="shared" si="0"/>
        <v>45704</v>
      </c>
      <c r="B17" s="1" t="str">
        <f t="shared" si="1"/>
        <v>יום ראשון</v>
      </c>
      <c r="C17">
        <v>0</v>
      </c>
      <c r="D17">
        <v>0</v>
      </c>
      <c r="E17" t="s">
        <v>5</v>
      </c>
      <c r="F17">
        <v>0</v>
      </c>
      <c r="H17">
        <v>0</v>
      </c>
    </row>
    <row r="18" spans="1:8" x14ac:dyDescent="0.35">
      <c r="A18" s="1">
        <f t="shared" si="0"/>
        <v>45705</v>
      </c>
      <c r="B18" s="1" t="str">
        <f t="shared" si="1"/>
        <v>יום שני</v>
      </c>
      <c r="C18">
        <v>712</v>
      </c>
      <c r="D18">
        <v>482</v>
      </c>
      <c r="F18">
        <v>13</v>
      </c>
      <c r="G18">
        <v>393</v>
      </c>
      <c r="H18">
        <v>0</v>
      </c>
    </row>
    <row r="19" spans="1:8" x14ac:dyDescent="0.35">
      <c r="A19" s="1">
        <f t="shared" si="0"/>
        <v>45706</v>
      </c>
      <c r="B19" s="1" t="str">
        <f t="shared" si="1"/>
        <v>יום שלישי</v>
      </c>
      <c r="C19">
        <v>441</v>
      </c>
      <c r="D19">
        <v>377</v>
      </c>
      <c r="F19">
        <v>13</v>
      </c>
      <c r="G19">
        <v>324</v>
      </c>
      <c r="H19">
        <v>0</v>
      </c>
    </row>
    <row r="20" spans="1:8" x14ac:dyDescent="0.35">
      <c r="A20" s="1">
        <f t="shared" si="0"/>
        <v>45707</v>
      </c>
      <c r="B20" s="1" t="str">
        <f t="shared" si="1"/>
        <v>יום רביעי</v>
      </c>
      <c r="C20">
        <v>406</v>
      </c>
      <c r="D20">
        <v>353</v>
      </c>
      <c r="F20">
        <v>13</v>
      </c>
      <c r="G20">
        <v>298</v>
      </c>
      <c r="H20">
        <v>0</v>
      </c>
    </row>
    <row r="21" spans="1:8" x14ac:dyDescent="0.35">
      <c r="A21" s="1">
        <f t="shared" si="0"/>
        <v>45708</v>
      </c>
      <c r="B21" s="1" t="str">
        <f t="shared" si="1"/>
        <v>יום חמישי</v>
      </c>
      <c r="C21">
        <v>472</v>
      </c>
      <c r="D21">
        <v>627</v>
      </c>
      <c r="F21">
        <v>14</v>
      </c>
      <c r="G21">
        <v>533</v>
      </c>
      <c r="H21">
        <v>0</v>
      </c>
    </row>
    <row r="22" spans="1:8" x14ac:dyDescent="0.35">
      <c r="A22" s="1">
        <f t="shared" si="0"/>
        <v>45709</v>
      </c>
      <c r="B22" s="1" t="str">
        <f t="shared" si="1"/>
        <v>יום שישי</v>
      </c>
      <c r="C22">
        <v>0</v>
      </c>
      <c r="D22">
        <v>0</v>
      </c>
      <c r="E22" t="s">
        <v>5</v>
      </c>
      <c r="F22">
        <v>0</v>
      </c>
      <c r="H22">
        <v>0</v>
      </c>
    </row>
    <row r="23" spans="1:8" x14ac:dyDescent="0.35">
      <c r="A23" s="1">
        <f t="shared" si="0"/>
        <v>45710</v>
      </c>
      <c r="B23" s="1" t="str">
        <f t="shared" si="1"/>
        <v>שבת</v>
      </c>
      <c r="C23">
        <v>0</v>
      </c>
      <c r="D23">
        <v>0</v>
      </c>
      <c r="E23" t="s">
        <v>5</v>
      </c>
      <c r="F23">
        <v>0</v>
      </c>
      <c r="H23">
        <v>0</v>
      </c>
    </row>
    <row r="24" spans="1:8" x14ac:dyDescent="0.35">
      <c r="A24" s="1">
        <f t="shared" si="0"/>
        <v>45711</v>
      </c>
      <c r="B24" s="1" t="str">
        <f t="shared" si="1"/>
        <v>יום ראשון</v>
      </c>
      <c r="C24">
        <v>663</v>
      </c>
      <c r="D24">
        <v>1203</v>
      </c>
      <c r="E24" t="s">
        <v>6</v>
      </c>
      <c r="F24">
        <v>12</v>
      </c>
      <c r="G24">
        <v>879</v>
      </c>
      <c r="H24">
        <v>1</v>
      </c>
    </row>
    <row r="25" spans="1:8" x14ac:dyDescent="0.35">
      <c r="A25" s="1">
        <f t="shared" si="0"/>
        <v>45712</v>
      </c>
      <c r="B25" s="1" t="str">
        <f t="shared" si="1"/>
        <v>יום שני</v>
      </c>
      <c r="C25">
        <v>394</v>
      </c>
      <c r="D25">
        <v>690</v>
      </c>
      <c r="E25" t="s">
        <v>6</v>
      </c>
      <c r="F25">
        <v>14</v>
      </c>
      <c r="G25">
        <v>533</v>
      </c>
      <c r="H25">
        <v>1</v>
      </c>
    </row>
    <row r="26" spans="1:8" x14ac:dyDescent="0.35">
      <c r="A26" s="1">
        <f t="shared" si="0"/>
        <v>45713</v>
      </c>
      <c r="B26" s="1" t="str">
        <f t="shared" si="1"/>
        <v>יום שלישי</v>
      </c>
      <c r="C26">
        <v>347</v>
      </c>
      <c r="D26">
        <v>512</v>
      </c>
      <c r="E26" t="s">
        <v>6</v>
      </c>
      <c r="F26">
        <v>11</v>
      </c>
      <c r="G26">
        <v>418</v>
      </c>
      <c r="H26">
        <v>1</v>
      </c>
    </row>
    <row r="27" spans="1:8" x14ac:dyDescent="0.35">
      <c r="A27" s="1">
        <f t="shared" si="0"/>
        <v>45714</v>
      </c>
      <c r="B27" s="1" t="str">
        <f t="shared" si="1"/>
        <v>יום רביעי</v>
      </c>
      <c r="C27">
        <v>416</v>
      </c>
      <c r="D27">
        <v>457</v>
      </c>
      <c r="E27" t="s">
        <v>6</v>
      </c>
      <c r="F27">
        <v>13</v>
      </c>
      <c r="G27">
        <v>382</v>
      </c>
      <c r="H27">
        <v>1</v>
      </c>
    </row>
    <row r="28" spans="1:8" x14ac:dyDescent="0.35">
      <c r="A28" s="1">
        <f t="shared" si="0"/>
        <v>45715</v>
      </c>
      <c r="B28" s="1" t="str">
        <f t="shared" si="1"/>
        <v>יום חמישי</v>
      </c>
      <c r="C28">
        <v>462</v>
      </c>
      <c r="D28">
        <v>596</v>
      </c>
      <c r="E28" t="s">
        <v>6</v>
      </c>
      <c r="F28">
        <v>15</v>
      </c>
      <c r="G28">
        <v>497</v>
      </c>
      <c r="H28">
        <v>1</v>
      </c>
    </row>
    <row r="29" spans="1:8" x14ac:dyDescent="0.35">
      <c r="A29" s="1">
        <f t="shared" si="0"/>
        <v>45716</v>
      </c>
      <c r="B29" s="1" t="str">
        <f t="shared" si="1"/>
        <v>יום שישי</v>
      </c>
      <c r="C29">
        <v>0</v>
      </c>
      <c r="D29">
        <v>0</v>
      </c>
      <c r="E29" t="s">
        <v>5</v>
      </c>
      <c r="F29">
        <v>0</v>
      </c>
      <c r="H29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7408-FC5D-4B27-BB4D-16DBE56EE8D5}">
  <dimension ref="A1:H32"/>
  <sheetViews>
    <sheetView rightToLeft="1" workbookViewId="0">
      <selection activeCell="B2" sqref="B2"/>
    </sheetView>
  </sheetViews>
  <sheetFormatPr defaultRowHeight="14.15" x14ac:dyDescent="0.35"/>
  <cols>
    <col min="1" max="1" width="9.85546875" bestFit="1" customWidth="1"/>
    <col min="7" max="7" width="22.35546875" customWidth="1"/>
  </cols>
  <sheetData>
    <row r="1" spans="1:8" x14ac:dyDescent="0.35">
      <c r="A1" t="s">
        <v>2</v>
      </c>
      <c r="B1" t="s">
        <v>10</v>
      </c>
      <c r="C1" t="s">
        <v>0</v>
      </c>
      <c r="D1" t="s">
        <v>1</v>
      </c>
      <c r="E1" t="s">
        <v>3</v>
      </c>
      <c r="F1" t="s">
        <v>7</v>
      </c>
      <c r="G1" t="s">
        <v>8</v>
      </c>
      <c r="H1" t="s">
        <v>9</v>
      </c>
    </row>
    <row r="2" spans="1:8" x14ac:dyDescent="0.35">
      <c r="A2" s="1">
        <f>DATE(2025,3,1) + ROW(A1) - 1</f>
        <v>45717</v>
      </c>
      <c r="B2" s="1" t="str">
        <f t="shared" ref="B2:B32" si="0">TEXT(A2,"dddd")</f>
        <v>שבת</v>
      </c>
      <c r="C2">
        <v>0</v>
      </c>
      <c r="D2">
        <v>0</v>
      </c>
      <c r="E2" t="s">
        <v>5</v>
      </c>
      <c r="F2">
        <v>0</v>
      </c>
      <c r="H2">
        <v>0</v>
      </c>
    </row>
    <row r="3" spans="1:8" x14ac:dyDescent="0.35">
      <c r="A3" s="1">
        <f t="shared" ref="A3:A32" si="1">DATE(2025,3,1) + ROW(A2) - 1</f>
        <v>45718</v>
      </c>
      <c r="B3" s="1" t="str">
        <f t="shared" si="0"/>
        <v>יום ראשון</v>
      </c>
      <c r="C3">
        <v>428</v>
      </c>
      <c r="D3">
        <v>728</v>
      </c>
      <c r="F3">
        <v>11</v>
      </c>
      <c r="G3">
        <v>508</v>
      </c>
      <c r="H3">
        <v>0</v>
      </c>
    </row>
    <row r="4" spans="1:8" x14ac:dyDescent="0.35">
      <c r="A4" s="1">
        <f t="shared" si="1"/>
        <v>45719</v>
      </c>
      <c r="B4" s="1" t="str">
        <f t="shared" si="0"/>
        <v>יום שני</v>
      </c>
      <c r="C4">
        <v>254</v>
      </c>
      <c r="D4">
        <v>337</v>
      </c>
      <c r="F4">
        <v>11</v>
      </c>
      <c r="G4">
        <v>287</v>
      </c>
      <c r="H4">
        <v>0</v>
      </c>
    </row>
    <row r="5" spans="1:8" x14ac:dyDescent="0.35">
      <c r="A5" s="1">
        <f t="shared" si="1"/>
        <v>45720</v>
      </c>
      <c r="B5" s="1" t="str">
        <f t="shared" si="0"/>
        <v>יום שלישי</v>
      </c>
      <c r="C5">
        <v>267</v>
      </c>
      <c r="D5">
        <v>320</v>
      </c>
      <c r="F5">
        <v>11</v>
      </c>
      <c r="G5">
        <v>276</v>
      </c>
      <c r="H5">
        <v>0</v>
      </c>
    </row>
    <row r="6" spans="1:8" x14ac:dyDescent="0.35">
      <c r="A6" s="1">
        <f t="shared" si="1"/>
        <v>45721</v>
      </c>
      <c r="B6" s="1" t="str">
        <f t="shared" si="0"/>
        <v>יום רביעי</v>
      </c>
      <c r="C6">
        <v>236</v>
      </c>
      <c r="D6">
        <v>300</v>
      </c>
      <c r="F6">
        <v>11</v>
      </c>
      <c r="G6">
        <v>249</v>
      </c>
      <c r="H6">
        <v>0</v>
      </c>
    </row>
    <row r="7" spans="1:8" x14ac:dyDescent="0.35">
      <c r="A7" s="1">
        <f t="shared" si="1"/>
        <v>45722</v>
      </c>
      <c r="B7" s="1" t="str">
        <f t="shared" si="0"/>
        <v>יום חמישי</v>
      </c>
      <c r="C7">
        <v>337</v>
      </c>
      <c r="D7">
        <v>534</v>
      </c>
      <c r="F7">
        <v>11</v>
      </c>
      <c r="G7">
        <v>451</v>
      </c>
      <c r="H7">
        <v>0</v>
      </c>
    </row>
    <row r="8" spans="1:8" x14ac:dyDescent="0.35">
      <c r="A8" s="1">
        <f t="shared" si="1"/>
        <v>45723</v>
      </c>
      <c r="B8" s="1" t="str">
        <f t="shared" si="0"/>
        <v>יום שישי</v>
      </c>
      <c r="D8">
        <v>0</v>
      </c>
      <c r="E8" t="s">
        <v>5</v>
      </c>
      <c r="F8">
        <v>0</v>
      </c>
    </row>
    <row r="9" spans="1:8" x14ac:dyDescent="0.35">
      <c r="A9" s="1">
        <f t="shared" si="1"/>
        <v>45724</v>
      </c>
      <c r="B9" s="1" t="str">
        <f t="shared" si="0"/>
        <v>שבת</v>
      </c>
      <c r="D9">
        <v>0</v>
      </c>
      <c r="E9" t="s">
        <v>5</v>
      </c>
      <c r="F9">
        <v>0</v>
      </c>
      <c r="H9">
        <v>0</v>
      </c>
    </row>
    <row r="10" spans="1:8" x14ac:dyDescent="0.35">
      <c r="A10" s="1">
        <f t="shared" si="1"/>
        <v>45725</v>
      </c>
      <c r="B10" s="1" t="str">
        <f t="shared" si="0"/>
        <v>יום ראשון</v>
      </c>
      <c r="C10">
        <v>505</v>
      </c>
      <c r="D10">
        <v>608</v>
      </c>
      <c r="E10" t="s">
        <v>4</v>
      </c>
      <c r="F10">
        <v>11</v>
      </c>
      <c r="G10">
        <v>505</v>
      </c>
      <c r="H10">
        <v>1</v>
      </c>
    </row>
    <row r="11" spans="1:8" x14ac:dyDescent="0.35">
      <c r="A11" s="1">
        <f t="shared" si="1"/>
        <v>45726</v>
      </c>
      <c r="B11" s="1" t="str">
        <f t="shared" si="0"/>
        <v>יום שני</v>
      </c>
      <c r="C11">
        <v>369</v>
      </c>
      <c r="D11">
        <v>495</v>
      </c>
      <c r="E11" t="s">
        <v>4</v>
      </c>
      <c r="F11">
        <v>11</v>
      </c>
      <c r="G11">
        <v>394</v>
      </c>
      <c r="H11">
        <v>1</v>
      </c>
    </row>
    <row r="12" spans="1:8" x14ac:dyDescent="0.35">
      <c r="A12" s="1">
        <f t="shared" si="1"/>
        <v>45727</v>
      </c>
      <c r="B12" s="1" t="str">
        <f t="shared" si="0"/>
        <v>יום שלישי</v>
      </c>
      <c r="C12">
        <v>391</v>
      </c>
      <c r="D12">
        <v>367</v>
      </c>
      <c r="E12" t="s">
        <v>4</v>
      </c>
      <c r="F12">
        <v>11</v>
      </c>
      <c r="G12">
        <v>293</v>
      </c>
      <c r="H12">
        <v>1</v>
      </c>
    </row>
    <row r="13" spans="1:8" x14ac:dyDescent="0.35">
      <c r="A13" s="1">
        <f t="shared" si="1"/>
        <v>45728</v>
      </c>
      <c r="B13" s="1" t="str">
        <f t="shared" si="0"/>
        <v>יום רביעי</v>
      </c>
      <c r="C13">
        <v>323</v>
      </c>
      <c r="D13">
        <v>327</v>
      </c>
      <c r="E13" t="s">
        <v>4</v>
      </c>
      <c r="F13">
        <v>11</v>
      </c>
      <c r="G13">
        <v>276</v>
      </c>
      <c r="H13">
        <v>1</v>
      </c>
    </row>
    <row r="14" spans="1:8" x14ac:dyDescent="0.35">
      <c r="A14" s="1">
        <f t="shared" si="1"/>
        <v>45729</v>
      </c>
      <c r="B14" s="1" t="str">
        <f t="shared" si="0"/>
        <v>יום חמישי</v>
      </c>
      <c r="C14">
        <v>361</v>
      </c>
      <c r="D14">
        <v>303</v>
      </c>
      <c r="E14" t="s">
        <v>4</v>
      </c>
      <c r="F14">
        <v>11</v>
      </c>
      <c r="G14">
        <v>258</v>
      </c>
      <c r="H14">
        <v>1</v>
      </c>
    </row>
    <row r="15" spans="1:8" x14ac:dyDescent="0.35">
      <c r="A15" s="1">
        <f t="shared" si="1"/>
        <v>45730</v>
      </c>
      <c r="B15" s="1" t="str">
        <f t="shared" si="0"/>
        <v>יום שישי</v>
      </c>
      <c r="D15">
        <v>0</v>
      </c>
      <c r="E15" t="s">
        <v>5</v>
      </c>
      <c r="F15">
        <v>0</v>
      </c>
      <c r="H15">
        <v>0</v>
      </c>
    </row>
    <row r="16" spans="1:8" x14ac:dyDescent="0.35">
      <c r="A16" s="1">
        <f t="shared" si="1"/>
        <v>45731</v>
      </c>
      <c r="B16" s="1" t="str">
        <f t="shared" si="0"/>
        <v>שבת</v>
      </c>
      <c r="D16">
        <v>0</v>
      </c>
      <c r="E16" t="s">
        <v>5</v>
      </c>
      <c r="F16">
        <v>0</v>
      </c>
      <c r="H16">
        <v>0</v>
      </c>
    </row>
    <row r="17" spans="1:8" x14ac:dyDescent="0.35">
      <c r="A17" s="1">
        <f t="shared" si="1"/>
        <v>45732</v>
      </c>
      <c r="B17" s="1" t="str">
        <f t="shared" si="0"/>
        <v>יום ראשון</v>
      </c>
      <c r="C17">
        <v>261</v>
      </c>
      <c r="D17">
        <v>252</v>
      </c>
      <c r="F17">
        <v>11</v>
      </c>
      <c r="G17">
        <v>220</v>
      </c>
      <c r="H17">
        <v>0</v>
      </c>
    </row>
    <row r="18" spans="1:8" x14ac:dyDescent="0.35">
      <c r="A18" s="1">
        <f t="shared" si="1"/>
        <v>45733</v>
      </c>
      <c r="B18" s="1" t="str">
        <f t="shared" si="0"/>
        <v>יום שני</v>
      </c>
      <c r="C18">
        <v>350</v>
      </c>
      <c r="D18">
        <v>376</v>
      </c>
      <c r="F18">
        <v>11</v>
      </c>
      <c r="G18">
        <v>298</v>
      </c>
      <c r="H18">
        <v>0</v>
      </c>
    </row>
    <row r="19" spans="1:8" x14ac:dyDescent="0.35">
      <c r="A19" s="1">
        <f t="shared" si="1"/>
        <v>45734</v>
      </c>
      <c r="B19" s="1" t="str">
        <f t="shared" si="0"/>
        <v>יום שלישי</v>
      </c>
      <c r="C19">
        <v>300</v>
      </c>
      <c r="D19">
        <v>280</v>
      </c>
      <c r="F19">
        <v>11</v>
      </c>
      <c r="G19">
        <v>237</v>
      </c>
      <c r="H19">
        <v>0</v>
      </c>
    </row>
    <row r="20" spans="1:8" x14ac:dyDescent="0.35">
      <c r="A20" s="1">
        <f t="shared" si="1"/>
        <v>45735</v>
      </c>
      <c r="B20" s="1" t="str">
        <f t="shared" si="0"/>
        <v>יום רביעי</v>
      </c>
      <c r="C20">
        <v>295</v>
      </c>
      <c r="D20">
        <v>292</v>
      </c>
      <c r="F20">
        <v>11</v>
      </c>
      <c r="G20">
        <v>243</v>
      </c>
      <c r="H20">
        <v>0</v>
      </c>
    </row>
    <row r="21" spans="1:8" x14ac:dyDescent="0.35">
      <c r="A21" s="1">
        <f t="shared" si="1"/>
        <v>45736</v>
      </c>
      <c r="B21" s="1" t="str">
        <f t="shared" si="0"/>
        <v>יום חמישי</v>
      </c>
      <c r="C21">
        <v>332</v>
      </c>
      <c r="D21">
        <v>274</v>
      </c>
      <c r="F21">
        <v>11</v>
      </c>
      <c r="G21">
        <v>228</v>
      </c>
      <c r="H21">
        <v>0</v>
      </c>
    </row>
    <row r="22" spans="1:8" x14ac:dyDescent="0.35">
      <c r="A22" s="1">
        <f t="shared" si="1"/>
        <v>45737</v>
      </c>
      <c r="B22" s="1" t="str">
        <f t="shared" si="0"/>
        <v>יום שישי</v>
      </c>
      <c r="C22">
        <v>0</v>
      </c>
      <c r="D22">
        <v>0</v>
      </c>
      <c r="E22" t="s">
        <v>5</v>
      </c>
      <c r="F22">
        <v>0</v>
      </c>
      <c r="H22">
        <v>0</v>
      </c>
    </row>
    <row r="23" spans="1:8" x14ac:dyDescent="0.35">
      <c r="A23" s="1">
        <f t="shared" si="1"/>
        <v>45738</v>
      </c>
      <c r="B23" s="1" t="str">
        <f t="shared" si="0"/>
        <v>שבת</v>
      </c>
      <c r="C23">
        <v>0</v>
      </c>
      <c r="D23">
        <v>0</v>
      </c>
      <c r="E23" t="s">
        <v>5</v>
      </c>
      <c r="F23">
        <v>0</v>
      </c>
      <c r="H23">
        <v>0</v>
      </c>
    </row>
    <row r="24" spans="1:8" x14ac:dyDescent="0.35">
      <c r="A24" s="1">
        <f t="shared" si="1"/>
        <v>45739</v>
      </c>
      <c r="B24" s="1" t="str">
        <f t="shared" si="0"/>
        <v>יום ראשון</v>
      </c>
      <c r="C24">
        <v>316</v>
      </c>
      <c r="D24">
        <v>311</v>
      </c>
      <c r="F24">
        <v>8</v>
      </c>
      <c r="G24">
        <v>257</v>
      </c>
      <c r="H24">
        <v>0</v>
      </c>
    </row>
    <row r="25" spans="1:8" x14ac:dyDescent="0.35">
      <c r="A25" s="1">
        <f t="shared" si="1"/>
        <v>45740</v>
      </c>
      <c r="B25" s="1" t="str">
        <f t="shared" si="0"/>
        <v>יום שני</v>
      </c>
      <c r="C25">
        <v>277</v>
      </c>
      <c r="D25">
        <v>296</v>
      </c>
      <c r="F25">
        <v>9</v>
      </c>
      <c r="G25">
        <v>249</v>
      </c>
      <c r="H25">
        <v>0</v>
      </c>
    </row>
    <row r="26" spans="1:8" x14ac:dyDescent="0.35">
      <c r="A26" s="1">
        <f t="shared" si="1"/>
        <v>45741</v>
      </c>
      <c r="B26" s="1" t="str">
        <f t="shared" si="0"/>
        <v>יום שלישי</v>
      </c>
      <c r="C26">
        <v>227</v>
      </c>
      <c r="D26">
        <v>308</v>
      </c>
      <c r="F26">
        <v>8</v>
      </c>
      <c r="G26">
        <v>253</v>
      </c>
      <c r="H26">
        <v>0</v>
      </c>
    </row>
    <row r="27" spans="1:8" x14ac:dyDescent="0.35">
      <c r="A27" s="1">
        <f t="shared" si="1"/>
        <v>45742</v>
      </c>
      <c r="B27" s="1" t="str">
        <f t="shared" si="0"/>
        <v>יום רביעי</v>
      </c>
      <c r="C27">
        <v>301</v>
      </c>
      <c r="D27">
        <v>303</v>
      </c>
      <c r="F27">
        <v>8</v>
      </c>
      <c r="G27">
        <v>257</v>
      </c>
      <c r="H27">
        <v>0</v>
      </c>
    </row>
    <row r="28" spans="1:8" x14ac:dyDescent="0.35">
      <c r="A28" s="1">
        <f t="shared" si="1"/>
        <v>45743</v>
      </c>
      <c r="B28" s="1" t="str">
        <f t="shared" si="0"/>
        <v>יום חמישי</v>
      </c>
      <c r="C28">
        <v>242</v>
      </c>
      <c r="D28">
        <v>287</v>
      </c>
      <c r="F28">
        <v>10</v>
      </c>
      <c r="G28">
        <v>253</v>
      </c>
      <c r="H28">
        <v>0</v>
      </c>
    </row>
    <row r="29" spans="1:8" x14ac:dyDescent="0.35">
      <c r="A29" s="1">
        <f t="shared" si="1"/>
        <v>45744</v>
      </c>
      <c r="B29" s="1" t="str">
        <f t="shared" si="0"/>
        <v>יום שישי</v>
      </c>
      <c r="C29">
        <v>0</v>
      </c>
      <c r="D29">
        <v>0</v>
      </c>
      <c r="E29" t="s">
        <v>5</v>
      </c>
      <c r="F29">
        <v>0</v>
      </c>
      <c r="H29">
        <v>0</v>
      </c>
    </row>
    <row r="30" spans="1:8" x14ac:dyDescent="0.35">
      <c r="A30" s="1">
        <f t="shared" si="1"/>
        <v>45745</v>
      </c>
      <c r="B30" s="1" t="str">
        <f t="shared" si="0"/>
        <v>שבת</v>
      </c>
      <c r="C30">
        <v>0</v>
      </c>
      <c r="D30">
        <v>0</v>
      </c>
      <c r="E30" t="s">
        <v>5</v>
      </c>
      <c r="F30">
        <v>0</v>
      </c>
      <c r="H30">
        <v>0</v>
      </c>
    </row>
    <row r="31" spans="1:8" x14ac:dyDescent="0.35">
      <c r="A31" s="1">
        <f t="shared" si="1"/>
        <v>45746</v>
      </c>
      <c r="B31" s="1" t="str">
        <f t="shared" si="0"/>
        <v>יום ראשון</v>
      </c>
      <c r="C31">
        <v>339</v>
      </c>
      <c r="D31">
        <v>525</v>
      </c>
      <c r="E31" t="s">
        <v>6</v>
      </c>
      <c r="F31">
        <v>10</v>
      </c>
      <c r="G31">
        <v>379</v>
      </c>
      <c r="H31">
        <v>1</v>
      </c>
    </row>
    <row r="32" spans="1:8" x14ac:dyDescent="0.35">
      <c r="A32" s="1">
        <f t="shared" si="1"/>
        <v>45747</v>
      </c>
      <c r="B32" s="1" t="str">
        <f t="shared" si="0"/>
        <v>יום שני</v>
      </c>
      <c r="C32">
        <v>440</v>
      </c>
      <c r="D32">
        <v>541</v>
      </c>
      <c r="E32" t="s">
        <v>6</v>
      </c>
      <c r="F32">
        <v>8</v>
      </c>
      <c r="G32">
        <v>411</v>
      </c>
      <c r="H32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6539-EB9E-4DAC-87D9-899D0F51442B}">
  <dimension ref="A1:H31"/>
  <sheetViews>
    <sheetView rightToLeft="1" workbookViewId="0">
      <selection activeCell="G31" sqref="G31"/>
    </sheetView>
  </sheetViews>
  <sheetFormatPr defaultRowHeight="14.15" x14ac:dyDescent="0.35"/>
  <cols>
    <col min="1" max="1" width="9.85546875" bestFit="1" customWidth="1"/>
    <col min="7" max="7" width="17.85546875" bestFit="1" customWidth="1"/>
  </cols>
  <sheetData>
    <row r="1" spans="1:8" x14ac:dyDescent="0.35">
      <c r="A1" t="s">
        <v>2</v>
      </c>
      <c r="B1" t="s">
        <v>10</v>
      </c>
      <c r="C1" t="s">
        <v>0</v>
      </c>
      <c r="D1" t="s">
        <v>1</v>
      </c>
      <c r="E1" t="s">
        <v>3</v>
      </c>
      <c r="F1" t="s">
        <v>7</v>
      </c>
      <c r="G1" t="s">
        <v>8</v>
      </c>
      <c r="H1" t="s">
        <v>9</v>
      </c>
    </row>
    <row r="2" spans="1:8" x14ac:dyDescent="0.35">
      <c r="A2" s="1">
        <f>DATE(2025,4,1) + ROW(A1) - 1</f>
        <v>45748</v>
      </c>
      <c r="B2" s="1" t="str">
        <f t="shared" ref="B2:B31" si="0">TEXT(A2,"dddd")</f>
        <v>יום שלישי</v>
      </c>
      <c r="C2">
        <v>316</v>
      </c>
      <c r="D2">
        <v>522</v>
      </c>
      <c r="E2" t="s">
        <v>6</v>
      </c>
      <c r="F2">
        <v>14</v>
      </c>
      <c r="G2">
        <v>364</v>
      </c>
      <c r="H2">
        <v>1</v>
      </c>
    </row>
    <row r="3" spans="1:8" x14ac:dyDescent="0.35">
      <c r="A3" s="1">
        <f t="shared" ref="A3:A31" si="1">DATE(2025,4,1) + ROW(A2) - 1</f>
        <v>45749</v>
      </c>
      <c r="B3" s="1" t="str">
        <f t="shared" si="0"/>
        <v>יום רביעי</v>
      </c>
      <c r="C3">
        <v>199</v>
      </c>
      <c r="D3">
        <v>239</v>
      </c>
      <c r="F3">
        <v>8</v>
      </c>
      <c r="G3">
        <v>208</v>
      </c>
      <c r="H3">
        <v>0</v>
      </c>
    </row>
    <row r="4" spans="1:8" x14ac:dyDescent="0.35">
      <c r="A4" s="1">
        <f t="shared" si="1"/>
        <v>45750</v>
      </c>
      <c r="B4" s="1" t="str">
        <f t="shared" si="0"/>
        <v>יום חמישי</v>
      </c>
      <c r="C4">
        <v>157</v>
      </c>
      <c r="D4">
        <v>197</v>
      </c>
      <c r="F4">
        <v>7</v>
      </c>
      <c r="G4">
        <v>177</v>
      </c>
      <c r="H4">
        <v>0</v>
      </c>
    </row>
    <row r="5" spans="1:8" x14ac:dyDescent="0.35">
      <c r="A5" s="1">
        <f t="shared" si="1"/>
        <v>45751</v>
      </c>
      <c r="B5" s="1" t="str">
        <f t="shared" si="0"/>
        <v>יום שישי</v>
      </c>
      <c r="C5">
        <v>12</v>
      </c>
      <c r="D5">
        <v>0</v>
      </c>
      <c r="E5" t="s">
        <v>5</v>
      </c>
      <c r="F5">
        <v>0</v>
      </c>
      <c r="H5">
        <v>0</v>
      </c>
    </row>
    <row r="6" spans="1:8" x14ac:dyDescent="0.35">
      <c r="A6" s="1">
        <f t="shared" si="1"/>
        <v>45752</v>
      </c>
      <c r="B6" s="1" t="str">
        <f t="shared" si="0"/>
        <v>שבת</v>
      </c>
      <c r="C6">
        <v>4</v>
      </c>
      <c r="D6">
        <v>0</v>
      </c>
      <c r="E6" t="s">
        <v>5</v>
      </c>
      <c r="F6">
        <v>0</v>
      </c>
      <c r="H6">
        <v>0</v>
      </c>
    </row>
    <row r="7" spans="1:8" x14ac:dyDescent="0.35">
      <c r="A7" s="1">
        <f t="shared" si="1"/>
        <v>45753</v>
      </c>
      <c r="B7" s="1" t="str">
        <f t="shared" si="0"/>
        <v>יום ראשון</v>
      </c>
      <c r="C7">
        <v>239</v>
      </c>
      <c r="D7">
        <v>255</v>
      </c>
      <c r="F7">
        <v>10</v>
      </c>
      <c r="G7">
        <v>208</v>
      </c>
      <c r="H7">
        <v>0</v>
      </c>
    </row>
    <row r="8" spans="1:8" x14ac:dyDescent="0.35">
      <c r="A8" s="1">
        <f t="shared" si="1"/>
        <v>45754</v>
      </c>
      <c r="B8" s="1" t="str">
        <f t="shared" si="0"/>
        <v>יום שני</v>
      </c>
      <c r="C8" s="3">
        <v>280</v>
      </c>
      <c r="D8" s="3">
        <v>291</v>
      </c>
      <c r="E8" s="3" t="s">
        <v>5</v>
      </c>
      <c r="H8">
        <v>0</v>
      </c>
    </row>
    <row r="9" spans="1:8" x14ac:dyDescent="0.35">
      <c r="A9" s="1">
        <f t="shared" si="1"/>
        <v>45755</v>
      </c>
      <c r="B9" s="1" t="str">
        <f t="shared" si="0"/>
        <v>יום שלישי</v>
      </c>
      <c r="C9">
        <v>413</v>
      </c>
      <c r="D9">
        <v>582</v>
      </c>
      <c r="E9" t="s">
        <v>4</v>
      </c>
      <c r="F9">
        <v>10</v>
      </c>
      <c r="G9">
        <v>433</v>
      </c>
      <c r="H9">
        <v>1</v>
      </c>
    </row>
    <row r="10" spans="1:8" x14ac:dyDescent="0.35">
      <c r="A10" s="1">
        <f t="shared" si="1"/>
        <v>45756</v>
      </c>
      <c r="B10" s="1" t="str">
        <f t="shared" si="0"/>
        <v>יום רביעי</v>
      </c>
      <c r="C10">
        <v>401</v>
      </c>
      <c r="D10">
        <v>420</v>
      </c>
      <c r="E10" t="s">
        <v>4</v>
      </c>
      <c r="F10">
        <v>10</v>
      </c>
      <c r="G10">
        <v>315</v>
      </c>
      <c r="H10">
        <v>1</v>
      </c>
    </row>
    <row r="11" spans="1:8" x14ac:dyDescent="0.35">
      <c r="A11" s="1">
        <f t="shared" si="1"/>
        <v>45757</v>
      </c>
      <c r="B11" s="1" t="str">
        <f t="shared" si="0"/>
        <v>יום חמישי</v>
      </c>
      <c r="C11">
        <v>323</v>
      </c>
      <c r="D11">
        <v>320</v>
      </c>
      <c r="E11" t="s">
        <v>4</v>
      </c>
      <c r="F11">
        <v>9</v>
      </c>
      <c r="G11">
        <v>260</v>
      </c>
      <c r="H11">
        <v>1</v>
      </c>
    </row>
    <row r="12" spans="1:8" x14ac:dyDescent="0.35">
      <c r="A12" s="1">
        <f t="shared" si="1"/>
        <v>45758</v>
      </c>
      <c r="B12" s="1" t="str">
        <f t="shared" si="0"/>
        <v>יום שישי</v>
      </c>
      <c r="C12">
        <v>19</v>
      </c>
      <c r="D12">
        <v>0</v>
      </c>
      <c r="E12" t="s">
        <v>5</v>
      </c>
      <c r="F12">
        <v>0</v>
      </c>
      <c r="H12">
        <v>0</v>
      </c>
    </row>
    <row r="13" spans="1:8" x14ac:dyDescent="0.35">
      <c r="A13" s="1">
        <f t="shared" si="1"/>
        <v>45759</v>
      </c>
      <c r="B13" s="1" t="str">
        <f t="shared" si="0"/>
        <v>שבת</v>
      </c>
      <c r="C13">
        <v>0</v>
      </c>
      <c r="D13">
        <v>0</v>
      </c>
      <c r="E13" t="s">
        <v>5</v>
      </c>
      <c r="F13">
        <v>0</v>
      </c>
      <c r="H13">
        <v>0</v>
      </c>
    </row>
    <row r="14" spans="1:8" x14ac:dyDescent="0.35">
      <c r="A14" s="1">
        <f t="shared" si="1"/>
        <v>45760</v>
      </c>
      <c r="B14" s="1" t="str">
        <f t="shared" si="0"/>
        <v>יום ראשון</v>
      </c>
      <c r="C14" s="7">
        <v>5</v>
      </c>
      <c r="D14" s="7">
        <v>0</v>
      </c>
      <c r="E14" s="7" t="s">
        <v>5</v>
      </c>
      <c r="F14">
        <v>0</v>
      </c>
      <c r="H14">
        <v>0</v>
      </c>
    </row>
    <row r="15" spans="1:8" x14ac:dyDescent="0.35">
      <c r="A15" s="1">
        <f t="shared" si="1"/>
        <v>45761</v>
      </c>
      <c r="B15" s="1" t="str">
        <f t="shared" si="0"/>
        <v>יום שני</v>
      </c>
      <c r="C15" s="7">
        <v>98</v>
      </c>
      <c r="D15" s="7">
        <v>85</v>
      </c>
      <c r="E15" s="7" t="s">
        <v>5</v>
      </c>
      <c r="F15">
        <v>0</v>
      </c>
      <c r="H15">
        <v>0</v>
      </c>
    </row>
    <row r="16" spans="1:8" x14ac:dyDescent="0.35">
      <c r="A16" s="1">
        <f t="shared" si="1"/>
        <v>45762</v>
      </c>
      <c r="B16" s="1" t="str">
        <f t="shared" si="0"/>
        <v>יום שלישי</v>
      </c>
      <c r="C16" s="7">
        <v>70</v>
      </c>
      <c r="D16" s="7">
        <v>106</v>
      </c>
      <c r="E16" s="7" t="s">
        <v>5</v>
      </c>
      <c r="F16">
        <v>0</v>
      </c>
      <c r="H16">
        <v>0</v>
      </c>
    </row>
    <row r="17" spans="1:8" x14ac:dyDescent="0.35">
      <c r="A17" s="1">
        <f t="shared" si="1"/>
        <v>45763</v>
      </c>
      <c r="B17" s="1" t="str">
        <f t="shared" si="0"/>
        <v>יום רביעי</v>
      </c>
      <c r="C17" s="7">
        <v>113</v>
      </c>
      <c r="D17" s="7">
        <v>115</v>
      </c>
      <c r="E17" s="7" t="s">
        <v>5</v>
      </c>
      <c r="F17">
        <v>0</v>
      </c>
      <c r="H17">
        <v>0</v>
      </c>
    </row>
    <row r="18" spans="1:8" x14ac:dyDescent="0.35">
      <c r="A18" s="1">
        <f t="shared" si="1"/>
        <v>45764</v>
      </c>
      <c r="B18" s="1" t="str">
        <f t="shared" si="0"/>
        <v>יום חמישי</v>
      </c>
      <c r="C18" s="7">
        <v>44</v>
      </c>
      <c r="D18" s="7">
        <v>35</v>
      </c>
      <c r="E18" s="7" t="s">
        <v>5</v>
      </c>
      <c r="F18">
        <v>0</v>
      </c>
      <c r="H18">
        <v>0</v>
      </c>
    </row>
    <row r="19" spans="1:8" x14ac:dyDescent="0.35">
      <c r="A19" s="1">
        <f t="shared" si="1"/>
        <v>45765</v>
      </c>
      <c r="B19" s="1" t="str">
        <f t="shared" si="0"/>
        <v>יום שישי</v>
      </c>
      <c r="C19" s="5">
        <v>2</v>
      </c>
      <c r="D19" s="5">
        <v>0</v>
      </c>
      <c r="E19" t="s">
        <v>5</v>
      </c>
      <c r="F19">
        <v>0</v>
      </c>
      <c r="H19">
        <v>0</v>
      </c>
    </row>
    <row r="20" spans="1:8" x14ac:dyDescent="0.35">
      <c r="A20" s="1">
        <f t="shared" si="1"/>
        <v>45766</v>
      </c>
      <c r="B20" s="1" t="str">
        <f t="shared" si="0"/>
        <v>שבת</v>
      </c>
      <c r="C20" s="5">
        <v>4</v>
      </c>
      <c r="D20" s="5">
        <v>0</v>
      </c>
      <c r="E20" t="s">
        <v>5</v>
      </c>
      <c r="F20">
        <v>0</v>
      </c>
      <c r="H20">
        <v>0</v>
      </c>
    </row>
    <row r="21" spans="1:8" x14ac:dyDescent="0.35">
      <c r="A21" s="1">
        <f t="shared" si="1"/>
        <v>45767</v>
      </c>
      <c r="B21" s="1" t="str">
        <f t="shared" si="0"/>
        <v>יום ראשון</v>
      </c>
      <c r="C21">
        <v>580</v>
      </c>
      <c r="D21">
        <v>587</v>
      </c>
      <c r="F21">
        <v>8</v>
      </c>
      <c r="G21">
        <v>387</v>
      </c>
      <c r="H21">
        <v>0</v>
      </c>
    </row>
    <row r="22" spans="1:8" x14ac:dyDescent="0.35">
      <c r="A22" s="1">
        <f t="shared" si="1"/>
        <v>45768</v>
      </c>
      <c r="B22" s="1" t="str">
        <f t="shared" si="0"/>
        <v>יום שני</v>
      </c>
      <c r="C22">
        <v>480</v>
      </c>
      <c r="D22">
        <v>441</v>
      </c>
      <c r="F22">
        <v>10</v>
      </c>
      <c r="G22">
        <v>353</v>
      </c>
      <c r="H22">
        <v>0</v>
      </c>
    </row>
    <row r="23" spans="1:8" x14ac:dyDescent="0.35">
      <c r="A23" s="1">
        <f t="shared" si="1"/>
        <v>45769</v>
      </c>
      <c r="B23" s="1" t="str">
        <f t="shared" si="0"/>
        <v>יום שלישי</v>
      </c>
      <c r="C23">
        <v>388</v>
      </c>
      <c r="D23">
        <v>448</v>
      </c>
      <c r="F23">
        <v>10</v>
      </c>
      <c r="G23">
        <v>84</v>
      </c>
      <c r="H23">
        <v>0</v>
      </c>
    </row>
    <row r="24" spans="1:8" x14ac:dyDescent="0.35">
      <c r="A24" s="1">
        <f t="shared" si="1"/>
        <v>45770</v>
      </c>
      <c r="B24" s="1" t="str">
        <f t="shared" si="0"/>
        <v>יום רביעי</v>
      </c>
      <c r="C24">
        <v>305</v>
      </c>
      <c r="D24">
        <v>334</v>
      </c>
      <c r="F24">
        <v>12</v>
      </c>
      <c r="G24">
        <v>283</v>
      </c>
      <c r="H24">
        <v>0</v>
      </c>
    </row>
    <row r="25" spans="1:8" x14ac:dyDescent="0.35">
      <c r="A25" s="1">
        <f t="shared" si="1"/>
        <v>45771</v>
      </c>
      <c r="B25" s="1" t="str">
        <f t="shared" si="0"/>
        <v>יום חמישי</v>
      </c>
      <c r="C25">
        <v>381</v>
      </c>
      <c r="D25">
        <v>328</v>
      </c>
      <c r="F25">
        <v>10</v>
      </c>
      <c r="G25">
        <v>280</v>
      </c>
      <c r="H25">
        <v>0</v>
      </c>
    </row>
    <row r="26" spans="1:8" x14ac:dyDescent="0.35">
      <c r="A26" s="1">
        <f t="shared" si="1"/>
        <v>45772</v>
      </c>
      <c r="B26" s="1" t="str">
        <f t="shared" si="0"/>
        <v>יום שישי</v>
      </c>
      <c r="C26">
        <v>22</v>
      </c>
      <c r="D26">
        <v>0</v>
      </c>
      <c r="E26" t="s">
        <v>5</v>
      </c>
      <c r="F26">
        <v>0</v>
      </c>
      <c r="H26">
        <v>0</v>
      </c>
    </row>
    <row r="27" spans="1:8" x14ac:dyDescent="0.35">
      <c r="A27" s="1">
        <f t="shared" si="1"/>
        <v>45773</v>
      </c>
      <c r="B27" s="1" t="str">
        <f t="shared" si="0"/>
        <v>שבת</v>
      </c>
      <c r="C27">
        <v>10</v>
      </c>
      <c r="D27">
        <v>0</v>
      </c>
      <c r="E27" t="s">
        <v>5</v>
      </c>
      <c r="F27">
        <v>0</v>
      </c>
      <c r="H27">
        <v>0</v>
      </c>
    </row>
    <row r="28" spans="1:8" x14ac:dyDescent="0.35">
      <c r="A28" s="1">
        <f t="shared" si="1"/>
        <v>45774</v>
      </c>
      <c r="B28" s="1" t="str">
        <f t="shared" si="0"/>
        <v>יום ראשון</v>
      </c>
      <c r="C28">
        <v>402</v>
      </c>
      <c r="D28">
        <v>374</v>
      </c>
      <c r="E28" t="s">
        <v>6</v>
      </c>
      <c r="F28">
        <v>12</v>
      </c>
      <c r="G28">
        <v>327</v>
      </c>
      <c r="H28">
        <v>1</v>
      </c>
    </row>
    <row r="29" spans="1:8" x14ac:dyDescent="0.35">
      <c r="A29" s="1">
        <f t="shared" si="1"/>
        <v>45775</v>
      </c>
      <c r="B29" s="1" t="str">
        <f t="shared" si="0"/>
        <v>יום שני</v>
      </c>
      <c r="C29">
        <v>397</v>
      </c>
      <c r="D29">
        <v>404</v>
      </c>
      <c r="E29" t="s">
        <v>6</v>
      </c>
      <c r="F29">
        <v>11</v>
      </c>
      <c r="G29">
        <v>335</v>
      </c>
      <c r="H29">
        <v>1</v>
      </c>
    </row>
    <row r="30" spans="1:8" x14ac:dyDescent="0.35">
      <c r="A30" s="1">
        <f t="shared" si="1"/>
        <v>45776</v>
      </c>
      <c r="B30" s="1" t="str">
        <f t="shared" si="0"/>
        <v>יום שלישי</v>
      </c>
      <c r="C30">
        <v>374</v>
      </c>
      <c r="D30">
        <v>513</v>
      </c>
      <c r="E30" t="s">
        <v>6</v>
      </c>
      <c r="F30">
        <v>13</v>
      </c>
      <c r="G30">
        <v>410</v>
      </c>
      <c r="H30">
        <v>1</v>
      </c>
    </row>
    <row r="31" spans="1:8" x14ac:dyDescent="0.35">
      <c r="A31" s="1">
        <f t="shared" si="1"/>
        <v>45777</v>
      </c>
      <c r="B31" s="1" t="str">
        <f t="shared" si="0"/>
        <v>יום רביעי</v>
      </c>
      <c r="C31" s="3">
        <v>57</v>
      </c>
      <c r="D31" s="3">
        <v>3</v>
      </c>
      <c r="E31" s="3" t="s">
        <v>5</v>
      </c>
      <c r="F31">
        <v>0</v>
      </c>
      <c r="H31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391DD-8634-4F10-8D15-69E7FD6F806A}">
  <dimension ref="A1:H32"/>
  <sheetViews>
    <sheetView rightToLeft="1" workbookViewId="0">
      <selection activeCell="A26" sqref="A26:XFD26"/>
    </sheetView>
  </sheetViews>
  <sheetFormatPr defaultRowHeight="14.15" x14ac:dyDescent="0.35"/>
  <cols>
    <col min="1" max="1" width="9.85546875" bestFit="1" customWidth="1"/>
    <col min="7" max="7" width="21.140625" customWidth="1"/>
  </cols>
  <sheetData>
    <row r="1" spans="1:8" x14ac:dyDescent="0.35">
      <c r="A1" t="s">
        <v>2</v>
      </c>
      <c r="B1" t="s">
        <v>10</v>
      </c>
      <c r="C1" t="s">
        <v>0</v>
      </c>
      <c r="D1" t="s">
        <v>1</v>
      </c>
      <c r="E1" t="s">
        <v>3</v>
      </c>
      <c r="F1" t="s">
        <v>7</v>
      </c>
      <c r="G1" t="s">
        <v>8</v>
      </c>
      <c r="H1" t="s">
        <v>9</v>
      </c>
    </row>
    <row r="2" spans="1:8" x14ac:dyDescent="0.35">
      <c r="A2" s="1">
        <f>DATE(2025,5,1) + ROW(A1) - 1</f>
        <v>45778</v>
      </c>
      <c r="B2" s="1" t="str">
        <f t="shared" ref="B2:B32" si="0">TEXT(A2,"dddd")</f>
        <v>יום חמישי</v>
      </c>
      <c r="C2">
        <v>7</v>
      </c>
      <c r="D2">
        <v>3</v>
      </c>
      <c r="E2" t="s">
        <v>5</v>
      </c>
      <c r="F2">
        <v>0</v>
      </c>
      <c r="H2">
        <v>0</v>
      </c>
    </row>
    <row r="3" spans="1:8" x14ac:dyDescent="0.35">
      <c r="A3" s="1">
        <f t="shared" ref="A3:A32" si="1">DATE(2025,5,1) + ROW(A2) - 1</f>
        <v>45779</v>
      </c>
      <c r="B3" s="1" t="str">
        <f t="shared" si="0"/>
        <v>יום שישי</v>
      </c>
      <c r="C3">
        <v>26</v>
      </c>
      <c r="D3">
        <v>0</v>
      </c>
      <c r="E3" t="s">
        <v>5</v>
      </c>
      <c r="F3">
        <v>0</v>
      </c>
      <c r="H3">
        <v>0</v>
      </c>
    </row>
    <row r="4" spans="1:8" x14ac:dyDescent="0.35">
      <c r="A4" s="1">
        <f t="shared" si="1"/>
        <v>45780</v>
      </c>
      <c r="B4" s="1" t="str">
        <f t="shared" si="0"/>
        <v>שבת</v>
      </c>
      <c r="C4">
        <v>6</v>
      </c>
      <c r="D4">
        <v>0</v>
      </c>
      <c r="E4" t="s">
        <v>5</v>
      </c>
      <c r="F4">
        <v>0</v>
      </c>
      <c r="H4">
        <v>0</v>
      </c>
    </row>
    <row r="5" spans="1:8" x14ac:dyDescent="0.35">
      <c r="A5" s="1">
        <f t="shared" si="1"/>
        <v>45781</v>
      </c>
      <c r="B5" s="1" t="str">
        <f t="shared" si="0"/>
        <v>יום ראשון</v>
      </c>
      <c r="C5">
        <v>423</v>
      </c>
      <c r="D5">
        <v>461</v>
      </c>
      <c r="F5">
        <v>10</v>
      </c>
      <c r="G5">
        <v>354</v>
      </c>
      <c r="H5">
        <v>0</v>
      </c>
    </row>
    <row r="6" spans="1:8" x14ac:dyDescent="0.35">
      <c r="A6" s="1">
        <f t="shared" si="1"/>
        <v>45782</v>
      </c>
      <c r="B6" s="1" t="str">
        <f t="shared" si="0"/>
        <v>יום שני</v>
      </c>
      <c r="C6">
        <v>267</v>
      </c>
      <c r="D6">
        <v>297</v>
      </c>
      <c r="F6">
        <v>11</v>
      </c>
      <c r="G6">
        <v>256</v>
      </c>
      <c r="H6">
        <v>0</v>
      </c>
    </row>
    <row r="7" spans="1:8" x14ac:dyDescent="0.35">
      <c r="A7" s="1">
        <f t="shared" si="1"/>
        <v>45783</v>
      </c>
      <c r="B7" s="1" t="str">
        <f t="shared" si="0"/>
        <v>יום שלישי</v>
      </c>
      <c r="C7">
        <v>297</v>
      </c>
      <c r="D7">
        <v>270</v>
      </c>
      <c r="F7">
        <v>12</v>
      </c>
      <c r="G7">
        <v>239</v>
      </c>
      <c r="H7">
        <v>0</v>
      </c>
    </row>
    <row r="8" spans="1:8" x14ac:dyDescent="0.35">
      <c r="A8" s="1">
        <f t="shared" si="1"/>
        <v>45784</v>
      </c>
      <c r="B8" s="1" t="str">
        <f t="shared" si="0"/>
        <v>יום רביעי</v>
      </c>
      <c r="C8">
        <v>358</v>
      </c>
      <c r="D8">
        <v>472</v>
      </c>
      <c r="E8" t="s">
        <v>4</v>
      </c>
      <c r="F8">
        <v>9</v>
      </c>
      <c r="G8">
        <v>397</v>
      </c>
      <c r="H8">
        <v>1</v>
      </c>
    </row>
    <row r="9" spans="1:8" x14ac:dyDescent="0.35">
      <c r="A9" s="1">
        <f t="shared" si="1"/>
        <v>45785</v>
      </c>
      <c r="B9" s="1" t="str">
        <f t="shared" si="0"/>
        <v>יום חמישי</v>
      </c>
      <c r="C9">
        <v>323</v>
      </c>
      <c r="D9">
        <v>583</v>
      </c>
      <c r="E9" t="s">
        <v>4</v>
      </c>
      <c r="F9">
        <v>11</v>
      </c>
      <c r="G9">
        <v>602</v>
      </c>
      <c r="H9">
        <v>1</v>
      </c>
    </row>
    <row r="10" spans="1:8" x14ac:dyDescent="0.35">
      <c r="A10" s="1">
        <f t="shared" si="1"/>
        <v>45786</v>
      </c>
      <c r="B10" s="1" t="str">
        <f t="shared" si="0"/>
        <v>יום שישי</v>
      </c>
      <c r="C10">
        <v>20</v>
      </c>
      <c r="D10">
        <v>0</v>
      </c>
      <c r="E10" t="s">
        <v>5</v>
      </c>
      <c r="F10">
        <v>0</v>
      </c>
      <c r="H10">
        <v>0</v>
      </c>
    </row>
    <row r="11" spans="1:8" x14ac:dyDescent="0.35">
      <c r="A11" s="1">
        <f t="shared" si="1"/>
        <v>45787</v>
      </c>
      <c r="B11" s="1" t="str">
        <f t="shared" si="0"/>
        <v>שבת</v>
      </c>
      <c r="C11">
        <v>9</v>
      </c>
      <c r="D11">
        <v>0</v>
      </c>
      <c r="E11" t="s">
        <v>5</v>
      </c>
      <c r="F11">
        <v>0</v>
      </c>
      <c r="H11">
        <v>0</v>
      </c>
    </row>
    <row r="12" spans="1:8" x14ac:dyDescent="0.35">
      <c r="A12" s="1">
        <f t="shared" si="1"/>
        <v>45788</v>
      </c>
      <c r="B12" s="1" t="str">
        <f t="shared" si="0"/>
        <v>יום ראשון</v>
      </c>
      <c r="C12">
        <v>409</v>
      </c>
      <c r="D12">
        <v>546</v>
      </c>
      <c r="E12" t="s">
        <v>4</v>
      </c>
      <c r="F12">
        <v>9</v>
      </c>
      <c r="G12">
        <v>231</v>
      </c>
      <c r="H12">
        <v>1</v>
      </c>
    </row>
    <row r="13" spans="1:8" x14ac:dyDescent="0.35">
      <c r="A13" s="1">
        <f t="shared" si="1"/>
        <v>45789</v>
      </c>
      <c r="B13" s="1" t="str">
        <f t="shared" si="0"/>
        <v>יום שני</v>
      </c>
      <c r="C13">
        <v>372</v>
      </c>
      <c r="D13">
        <v>503</v>
      </c>
      <c r="E13" t="s">
        <v>4</v>
      </c>
      <c r="F13">
        <v>8</v>
      </c>
      <c r="G13">
        <v>379</v>
      </c>
      <c r="H13">
        <v>1</v>
      </c>
    </row>
    <row r="14" spans="1:8" x14ac:dyDescent="0.35">
      <c r="A14" s="1">
        <f t="shared" si="1"/>
        <v>45790</v>
      </c>
      <c r="B14" s="1" t="str">
        <f t="shared" si="0"/>
        <v>יום שלישי</v>
      </c>
      <c r="C14">
        <v>276</v>
      </c>
      <c r="D14">
        <v>428</v>
      </c>
      <c r="E14" t="s">
        <v>4</v>
      </c>
      <c r="F14">
        <v>7</v>
      </c>
      <c r="G14">
        <v>334</v>
      </c>
      <c r="H14">
        <v>1</v>
      </c>
    </row>
    <row r="15" spans="1:8" x14ac:dyDescent="0.35">
      <c r="A15" s="1">
        <f t="shared" si="1"/>
        <v>45791</v>
      </c>
      <c r="B15" s="1" t="str">
        <f t="shared" si="0"/>
        <v>יום רביעי</v>
      </c>
      <c r="C15">
        <v>271</v>
      </c>
      <c r="D15">
        <v>389</v>
      </c>
      <c r="F15">
        <v>5</v>
      </c>
      <c r="G15">
        <v>302</v>
      </c>
      <c r="H15">
        <v>0</v>
      </c>
    </row>
    <row r="16" spans="1:8" x14ac:dyDescent="0.35">
      <c r="A16" s="1">
        <f t="shared" si="1"/>
        <v>45792</v>
      </c>
      <c r="B16" s="1" t="str">
        <f t="shared" si="0"/>
        <v>יום חמישי</v>
      </c>
      <c r="C16">
        <v>265</v>
      </c>
      <c r="D16">
        <v>329</v>
      </c>
      <c r="F16">
        <v>5</v>
      </c>
      <c r="G16">
        <v>265</v>
      </c>
      <c r="H16">
        <v>0</v>
      </c>
    </row>
    <row r="17" spans="1:8" x14ac:dyDescent="0.35">
      <c r="A17" s="1">
        <f t="shared" si="1"/>
        <v>45793</v>
      </c>
      <c r="B17" s="1" t="str">
        <f t="shared" si="0"/>
        <v>יום שישי</v>
      </c>
      <c r="C17">
        <v>26</v>
      </c>
      <c r="D17">
        <v>0</v>
      </c>
      <c r="E17" t="s">
        <v>5</v>
      </c>
      <c r="F17">
        <v>0</v>
      </c>
      <c r="H17">
        <v>0</v>
      </c>
    </row>
    <row r="18" spans="1:8" x14ac:dyDescent="0.35">
      <c r="A18" s="1">
        <f t="shared" si="1"/>
        <v>45794</v>
      </c>
      <c r="B18" s="1" t="str">
        <f t="shared" si="0"/>
        <v>שבת</v>
      </c>
      <c r="C18">
        <v>7</v>
      </c>
      <c r="D18">
        <v>0</v>
      </c>
      <c r="E18" t="s">
        <v>5</v>
      </c>
      <c r="F18">
        <v>0</v>
      </c>
      <c r="H18">
        <v>0</v>
      </c>
    </row>
    <row r="19" spans="1:8" x14ac:dyDescent="0.35">
      <c r="A19" s="1">
        <f t="shared" si="1"/>
        <v>45795</v>
      </c>
      <c r="B19" s="1" t="str">
        <f t="shared" si="0"/>
        <v>יום ראשון</v>
      </c>
      <c r="C19">
        <v>51</v>
      </c>
      <c r="D19">
        <v>4</v>
      </c>
      <c r="E19" t="s">
        <v>5</v>
      </c>
      <c r="F19">
        <v>0</v>
      </c>
      <c r="H19">
        <v>0</v>
      </c>
    </row>
    <row r="20" spans="1:8" x14ac:dyDescent="0.35">
      <c r="A20" s="1">
        <f t="shared" si="1"/>
        <v>45796</v>
      </c>
      <c r="B20" s="1" t="str">
        <f t="shared" si="0"/>
        <v>יום שני</v>
      </c>
      <c r="C20">
        <v>651</v>
      </c>
      <c r="D20">
        <v>800</v>
      </c>
      <c r="F20">
        <v>11</v>
      </c>
      <c r="G20">
        <v>230</v>
      </c>
      <c r="H20">
        <v>0</v>
      </c>
    </row>
    <row r="21" spans="1:8" x14ac:dyDescent="0.35">
      <c r="A21" s="1">
        <f t="shared" si="1"/>
        <v>45797</v>
      </c>
      <c r="B21" s="1" t="str">
        <f t="shared" si="0"/>
        <v>יום שלישי</v>
      </c>
      <c r="C21">
        <v>410</v>
      </c>
      <c r="D21">
        <v>606</v>
      </c>
      <c r="F21">
        <v>10</v>
      </c>
      <c r="G21">
        <v>116</v>
      </c>
      <c r="H21">
        <v>0</v>
      </c>
    </row>
    <row r="22" spans="1:8" x14ac:dyDescent="0.35">
      <c r="A22" s="1">
        <f t="shared" si="1"/>
        <v>45798</v>
      </c>
      <c r="B22" s="1" t="str">
        <f t="shared" si="0"/>
        <v>יום רביעי</v>
      </c>
      <c r="C22">
        <v>299</v>
      </c>
      <c r="D22">
        <v>456</v>
      </c>
      <c r="F22">
        <v>9</v>
      </c>
      <c r="G22">
        <v>182</v>
      </c>
      <c r="H22">
        <v>0</v>
      </c>
    </row>
    <row r="23" spans="1:8" x14ac:dyDescent="0.35">
      <c r="A23" s="1">
        <f t="shared" si="1"/>
        <v>45799</v>
      </c>
      <c r="B23" s="1" t="str">
        <f t="shared" si="0"/>
        <v>יום חמישי</v>
      </c>
      <c r="C23">
        <v>256</v>
      </c>
      <c r="D23">
        <v>457</v>
      </c>
      <c r="F23">
        <v>8</v>
      </c>
      <c r="G23">
        <v>382</v>
      </c>
      <c r="H23">
        <v>0</v>
      </c>
    </row>
    <row r="24" spans="1:8" x14ac:dyDescent="0.35">
      <c r="A24" s="1">
        <f t="shared" si="1"/>
        <v>45800</v>
      </c>
      <c r="B24" s="1" t="str">
        <f t="shared" si="0"/>
        <v>יום שישי</v>
      </c>
      <c r="C24">
        <v>65</v>
      </c>
      <c r="D24">
        <v>0</v>
      </c>
      <c r="E24" t="s">
        <v>5</v>
      </c>
      <c r="F24">
        <v>0</v>
      </c>
      <c r="H24">
        <v>0</v>
      </c>
    </row>
    <row r="25" spans="1:8" x14ac:dyDescent="0.35">
      <c r="A25" s="1">
        <f t="shared" si="1"/>
        <v>45801</v>
      </c>
      <c r="B25" s="1" t="str">
        <f t="shared" si="0"/>
        <v>שבת</v>
      </c>
      <c r="C25">
        <v>7</v>
      </c>
      <c r="D25">
        <v>0</v>
      </c>
      <c r="E25" t="s">
        <v>5</v>
      </c>
      <c r="F25">
        <v>0</v>
      </c>
      <c r="H25">
        <v>0</v>
      </c>
    </row>
    <row r="26" spans="1:8" x14ac:dyDescent="0.35">
      <c r="A26" s="1">
        <f t="shared" si="1"/>
        <v>45802</v>
      </c>
      <c r="B26" s="1" t="str">
        <f t="shared" si="0"/>
        <v>יום ראשון</v>
      </c>
      <c r="C26">
        <v>328</v>
      </c>
      <c r="D26">
        <v>642</v>
      </c>
      <c r="F26">
        <v>6</v>
      </c>
      <c r="G26">
        <v>438</v>
      </c>
      <c r="H26">
        <v>0</v>
      </c>
    </row>
    <row r="27" spans="1:8" x14ac:dyDescent="0.35">
      <c r="A27" s="1">
        <f t="shared" si="1"/>
        <v>45803</v>
      </c>
      <c r="B27" s="1" t="str">
        <f t="shared" si="0"/>
        <v>יום שני</v>
      </c>
      <c r="C27">
        <v>428</v>
      </c>
      <c r="D27">
        <v>547</v>
      </c>
      <c r="F27">
        <v>7</v>
      </c>
      <c r="G27">
        <v>401</v>
      </c>
      <c r="H27">
        <v>0</v>
      </c>
    </row>
    <row r="28" spans="1:8" x14ac:dyDescent="0.35">
      <c r="A28" s="1">
        <f t="shared" si="1"/>
        <v>45804</v>
      </c>
      <c r="B28" s="1" t="str">
        <f t="shared" si="0"/>
        <v>יום שלישי</v>
      </c>
      <c r="C28">
        <v>345</v>
      </c>
      <c r="D28">
        <v>614</v>
      </c>
      <c r="F28">
        <v>7</v>
      </c>
      <c r="G28">
        <v>383</v>
      </c>
      <c r="H28">
        <v>0</v>
      </c>
    </row>
    <row r="29" spans="1:8" x14ac:dyDescent="0.35">
      <c r="A29" s="1">
        <f t="shared" si="1"/>
        <v>45805</v>
      </c>
      <c r="B29" s="1" t="str">
        <f t="shared" si="0"/>
        <v>יום רביעי</v>
      </c>
      <c r="C29">
        <v>310</v>
      </c>
      <c r="D29">
        <v>580</v>
      </c>
      <c r="E29" t="s">
        <v>6</v>
      </c>
      <c r="F29">
        <v>6</v>
      </c>
      <c r="G29">
        <v>399</v>
      </c>
      <c r="H29">
        <v>1</v>
      </c>
    </row>
    <row r="30" spans="1:8" x14ac:dyDescent="0.35">
      <c r="A30" s="1">
        <f t="shared" si="1"/>
        <v>45806</v>
      </c>
      <c r="B30" s="1" t="str">
        <f t="shared" si="0"/>
        <v>יום חמישי</v>
      </c>
      <c r="C30">
        <v>353</v>
      </c>
      <c r="D30">
        <v>603</v>
      </c>
      <c r="E30" t="s">
        <v>6</v>
      </c>
      <c r="F30">
        <v>9</v>
      </c>
      <c r="G30">
        <v>281</v>
      </c>
      <c r="H30">
        <v>1</v>
      </c>
    </row>
    <row r="31" spans="1:8" x14ac:dyDescent="0.35">
      <c r="A31" s="1">
        <f t="shared" si="1"/>
        <v>45807</v>
      </c>
      <c r="B31" s="1" t="str">
        <f t="shared" si="0"/>
        <v>יום שישי</v>
      </c>
      <c r="C31">
        <v>72</v>
      </c>
      <c r="D31">
        <v>0</v>
      </c>
      <c r="E31" t="s">
        <v>5</v>
      </c>
      <c r="F31">
        <v>0</v>
      </c>
      <c r="H31">
        <v>0</v>
      </c>
    </row>
    <row r="32" spans="1:8" x14ac:dyDescent="0.35">
      <c r="A32" s="1">
        <f t="shared" si="1"/>
        <v>45808</v>
      </c>
      <c r="B32" s="1" t="str">
        <f t="shared" si="0"/>
        <v>שבת</v>
      </c>
      <c r="C32">
        <v>5</v>
      </c>
      <c r="D32">
        <v>0</v>
      </c>
      <c r="E32" t="s">
        <v>5</v>
      </c>
      <c r="F32">
        <v>0</v>
      </c>
      <c r="H32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FC309-D86A-4988-830F-B2EE973CD26C}">
  <dimension ref="A1:H31"/>
  <sheetViews>
    <sheetView rightToLeft="1" workbookViewId="0">
      <selection activeCell="A13" sqref="A13"/>
    </sheetView>
  </sheetViews>
  <sheetFormatPr defaultRowHeight="14.15" x14ac:dyDescent="0.35"/>
  <cols>
    <col min="1" max="1" width="9.85546875" bestFit="1" customWidth="1"/>
    <col min="2" max="2" width="9.85546875" customWidth="1"/>
    <col min="7" max="7" width="19.35546875" customWidth="1"/>
  </cols>
  <sheetData>
    <row r="1" spans="1:8" x14ac:dyDescent="0.35">
      <c r="A1" t="s">
        <v>2</v>
      </c>
      <c r="B1" t="s">
        <v>10</v>
      </c>
      <c r="C1" t="s">
        <v>0</v>
      </c>
      <c r="D1" t="s">
        <v>1</v>
      </c>
      <c r="E1" t="s">
        <v>3</v>
      </c>
      <c r="F1" t="s">
        <v>7</v>
      </c>
      <c r="G1" t="s">
        <v>8</v>
      </c>
      <c r="H1" t="s">
        <v>9</v>
      </c>
    </row>
    <row r="2" spans="1:8" x14ac:dyDescent="0.35">
      <c r="A2" s="1">
        <f>DATE(2025,6,1) + ROW(A1) - 1</f>
        <v>45809</v>
      </c>
      <c r="B2" s="1" t="str">
        <f>TEXT(A2,"dddd")</f>
        <v>יום ראשון</v>
      </c>
      <c r="C2">
        <v>29</v>
      </c>
      <c r="D2">
        <v>0</v>
      </c>
      <c r="E2" t="s">
        <v>5</v>
      </c>
      <c r="F2">
        <v>0</v>
      </c>
      <c r="H2">
        <v>0</v>
      </c>
    </row>
    <row r="3" spans="1:8" x14ac:dyDescent="0.35">
      <c r="A3" s="1">
        <f t="shared" ref="A3:A31" si="0">DATE(2025,6,1) + ROW(A2) - 1</f>
        <v>45810</v>
      </c>
      <c r="B3" s="1" t="str">
        <f t="shared" ref="B3:B31" si="1">TEXT(A3,"dddd")</f>
        <v>יום שני</v>
      </c>
      <c r="C3">
        <v>8</v>
      </c>
      <c r="D3">
        <v>0</v>
      </c>
      <c r="E3" t="s">
        <v>5</v>
      </c>
      <c r="F3">
        <v>0</v>
      </c>
      <c r="H3">
        <v>0</v>
      </c>
    </row>
    <row r="4" spans="1:8" x14ac:dyDescent="0.35">
      <c r="A4" s="1">
        <f t="shared" si="0"/>
        <v>45811</v>
      </c>
      <c r="B4" s="1" t="str">
        <f t="shared" si="1"/>
        <v>יום שלישי</v>
      </c>
      <c r="C4">
        <v>524</v>
      </c>
      <c r="D4">
        <v>681</v>
      </c>
      <c r="F4">
        <v>7</v>
      </c>
      <c r="G4">
        <v>496</v>
      </c>
      <c r="H4">
        <v>0</v>
      </c>
    </row>
    <row r="5" spans="1:8" x14ac:dyDescent="0.35">
      <c r="A5" s="1">
        <f t="shared" si="0"/>
        <v>45812</v>
      </c>
      <c r="B5" s="1" t="str">
        <f t="shared" si="1"/>
        <v>יום רביעי</v>
      </c>
      <c r="C5">
        <v>192</v>
      </c>
      <c r="D5">
        <v>350</v>
      </c>
      <c r="F5">
        <v>7</v>
      </c>
      <c r="G5">
        <v>280</v>
      </c>
      <c r="H5">
        <v>0</v>
      </c>
    </row>
    <row r="6" spans="1:8" x14ac:dyDescent="0.35">
      <c r="A6" s="1">
        <f t="shared" si="0"/>
        <v>45813</v>
      </c>
      <c r="B6" s="1" t="str">
        <f t="shared" si="1"/>
        <v>יום חמישי</v>
      </c>
      <c r="C6">
        <v>226</v>
      </c>
      <c r="D6">
        <v>262</v>
      </c>
      <c r="F6">
        <v>8</v>
      </c>
      <c r="G6">
        <v>238</v>
      </c>
      <c r="H6">
        <v>0</v>
      </c>
    </row>
    <row r="7" spans="1:8" x14ac:dyDescent="0.35">
      <c r="A7" s="1">
        <f t="shared" si="0"/>
        <v>45814</v>
      </c>
      <c r="B7" s="1" t="str">
        <f t="shared" si="1"/>
        <v>יום שישי</v>
      </c>
      <c r="E7" t="s">
        <v>5</v>
      </c>
      <c r="F7">
        <v>0</v>
      </c>
      <c r="H7">
        <v>0</v>
      </c>
    </row>
    <row r="8" spans="1:8" x14ac:dyDescent="0.35">
      <c r="A8" s="1">
        <f t="shared" si="0"/>
        <v>45815</v>
      </c>
      <c r="B8" s="1" t="str">
        <f t="shared" si="1"/>
        <v>שבת</v>
      </c>
      <c r="E8" t="s">
        <v>5</v>
      </c>
      <c r="F8">
        <v>0</v>
      </c>
      <c r="H8">
        <v>0</v>
      </c>
    </row>
    <row r="9" spans="1:8" x14ac:dyDescent="0.35">
      <c r="A9" s="1">
        <f t="shared" si="0"/>
        <v>45816</v>
      </c>
      <c r="B9" s="1" t="str">
        <f t="shared" si="1"/>
        <v>יום ראשון</v>
      </c>
      <c r="C9">
        <v>401</v>
      </c>
      <c r="D9">
        <v>424</v>
      </c>
      <c r="E9" t="s">
        <v>4</v>
      </c>
      <c r="F9">
        <v>8</v>
      </c>
      <c r="G9">
        <v>361</v>
      </c>
      <c r="H9">
        <v>1</v>
      </c>
    </row>
    <row r="10" spans="1:8" x14ac:dyDescent="0.35">
      <c r="A10" s="1">
        <f t="shared" si="0"/>
        <v>45817</v>
      </c>
      <c r="B10" s="1" t="str">
        <f t="shared" si="1"/>
        <v>יום שני</v>
      </c>
      <c r="C10">
        <v>471</v>
      </c>
      <c r="D10">
        <v>904</v>
      </c>
      <c r="E10" t="s">
        <v>4</v>
      </c>
      <c r="F10">
        <v>8</v>
      </c>
      <c r="G10">
        <v>660</v>
      </c>
      <c r="H10">
        <v>1</v>
      </c>
    </row>
    <row r="11" spans="1:8" x14ac:dyDescent="0.35">
      <c r="A11" s="1">
        <f t="shared" si="0"/>
        <v>45818</v>
      </c>
      <c r="B11" s="1" t="str">
        <f t="shared" si="1"/>
        <v>יום שלישי</v>
      </c>
      <c r="C11">
        <v>358</v>
      </c>
      <c r="D11">
        <v>490</v>
      </c>
      <c r="E11" t="s">
        <v>4</v>
      </c>
      <c r="F11">
        <v>9</v>
      </c>
      <c r="G11">
        <v>403</v>
      </c>
      <c r="H11">
        <v>1</v>
      </c>
    </row>
    <row r="12" spans="1:8" x14ac:dyDescent="0.35">
      <c r="A12" s="1">
        <f t="shared" si="0"/>
        <v>45819</v>
      </c>
      <c r="B12" s="1" t="str">
        <f t="shared" si="1"/>
        <v>יום רביעי</v>
      </c>
      <c r="C12">
        <v>288</v>
      </c>
      <c r="D12">
        <v>285</v>
      </c>
      <c r="E12" t="s">
        <v>4</v>
      </c>
      <c r="F12">
        <v>9</v>
      </c>
      <c r="G12">
        <v>260</v>
      </c>
      <c r="H12">
        <v>1</v>
      </c>
    </row>
    <row r="13" spans="1:8" x14ac:dyDescent="0.35">
      <c r="A13" s="1">
        <f t="shared" si="0"/>
        <v>45820</v>
      </c>
      <c r="B13" s="1" t="str">
        <f t="shared" si="1"/>
        <v>יום חמישי</v>
      </c>
      <c r="C13">
        <v>249</v>
      </c>
      <c r="D13">
        <v>250</v>
      </c>
      <c r="E13" t="s">
        <v>4</v>
      </c>
      <c r="F13">
        <v>9</v>
      </c>
      <c r="G13">
        <v>223</v>
      </c>
      <c r="H13">
        <v>1</v>
      </c>
    </row>
    <row r="14" spans="1:8" x14ac:dyDescent="0.35">
      <c r="A14" s="1">
        <f t="shared" si="0"/>
        <v>45821</v>
      </c>
      <c r="B14" s="1" t="str">
        <f t="shared" si="1"/>
        <v>יום שישי</v>
      </c>
      <c r="C14">
        <v>0</v>
      </c>
      <c r="D14">
        <v>0</v>
      </c>
      <c r="E14" t="s">
        <v>5</v>
      </c>
      <c r="F14">
        <v>0</v>
      </c>
      <c r="H14">
        <v>0</v>
      </c>
    </row>
    <row r="15" spans="1:8" x14ac:dyDescent="0.35">
      <c r="A15" s="1">
        <f t="shared" si="0"/>
        <v>45822</v>
      </c>
      <c r="B15" s="1" t="str">
        <f t="shared" si="1"/>
        <v>שבת</v>
      </c>
      <c r="C15">
        <v>0</v>
      </c>
      <c r="D15">
        <v>0</v>
      </c>
      <c r="E15" t="s">
        <v>5</v>
      </c>
      <c r="F15">
        <v>0</v>
      </c>
      <c r="H15">
        <v>0</v>
      </c>
    </row>
    <row r="16" spans="1:8" x14ac:dyDescent="0.35">
      <c r="A16" s="1">
        <f t="shared" si="0"/>
        <v>45823</v>
      </c>
      <c r="B16" s="1" t="str">
        <f t="shared" si="1"/>
        <v>יום ראשון</v>
      </c>
      <c r="C16">
        <v>0</v>
      </c>
      <c r="D16">
        <v>0</v>
      </c>
      <c r="E16" t="s">
        <v>5</v>
      </c>
      <c r="F16">
        <v>0</v>
      </c>
      <c r="H16">
        <v>0</v>
      </c>
    </row>
    <row r="17" spans="1:8" x14ac:dyDescent="0.35">
      <c r="A17" s="1">
        <f t="shared" si="0"/>
        <v>45824</v>
      </c>
      <c r="B17" s="1" t="str">
        <f t="shared" si="1"/>
        <v>יום שני</v>
      </c>
      <c r="C17">
        <v>0</v>
      </c>
      <c r="D17">
        <v>0</v>
      </c>
      <c r="E17" t="s">
        <v>5</v>
      </c>
      <c r="F17">
        <v>0</v>
      </c>
      <c r="H17">
        <v>0</v>
      </c>
    </row>
    <row r="18" spans="1:8" x14ac:dyDescent="0.35">
      <c r="A18" s="1">
        <f t="shared" si="0"/>
        <v>45825</v>
      </c>
      <c r="B18" s="1" t="str">
        <f t="shared" si="1"/>
        <v>יום שלישי</v>
      </c>
      <c r="C18">
        <v>0</v>
      </c>
      <c r="D18">
        <v>0</v>
      </c>
      <c r="E18" t="s">
        <v>5</v>
      </c>
      <c r="F18">
        <v>0</v>
      </c>
      <c r="H18">
        <v>0</v>
      </c>
    </row>
    <row r="19" spans="1:8" x14ac:dyDescent="0.35">
      <c r="A19" s="1">
        <f t="shared" si="0"/>
        <v>45826</v>
      </c>
      <c r="B19" s="1" t="str">
        <f t="shared" si="1"/>
        <v>יום רביעי</v>
      </c>
      <c r="C19">
        <v>0</v>
      </c>
      <c r="D19">
        <v>0</v>
      </c>
      <c r="E19" t="s">
        <v>5</v>
      </c>
      <c r="F19">
        <v>0</v>
      </c>
      <c r="H19">
        <v>0</v>
      </c>
    </row>
    <row r="20" spans="1:8" x14ac:dyDescent="0.35">
      <c r="A20" s="1">
        <f t="shared" si="0"/>
        <v>45827</v>
      </c>
      <c r="B20" s="1" t="str">
        <f t="shared" si="1"/>
        <v>יום חמישי</v>
      </c>
      <c r="C20">
        <v>0</v>
      </c>
      <c r="D20">
        <v>0</v>
      </c>
      <c r="E20" t="s">
        <v>5</v>
      </c>
      <c r="F20">
        <v>0</v>
      </c>
      <c r="H20">
        <v>0</v>
      </c>
    </row>
    <row r="21" spans="1:8" x14ac:dyDescent="0.35">
      <c r="A21" s="1">
        <f t="shared" si="0"/>
        <v>45828</v>
      </c>
      <c r="B21" s="1" t="str">
        <f t="shared" si="1"/>
        <v>יום שישי</v>
      </c>
      <c r="C21">
        <v>0</v>
      </c>
      <c r="D21">
        <v>0</v>
      </c>
      <c r="E21" t="s">
        <v>5</v>
      </c>
      <c r="F21">
        <v>0</v>
      </c>
      <c r="H21">
        <v>0</v>
      </c>
    </row>
    <row r="22" spans="1:8" x14ac:dyDescent="0.35">
      <c r="A22" s="1">
        <f t="shared" si="0"/>
        <v>45829</v>
      </c>
      <c r="B22" s="1" t="str">
        <f t="shared" si="1"/>
        <v>שבת</v>
      </c>
      <c r="C22">
        <v>0</v>
      </c>
      <c r="D22">
        <v>0</v>
      </c>
      <c r="E22" t="s">
        <v>5</v>
      </c>
      <c r="F22">
        <v>0</v>
      </c>
      <c r="H22">
        <v>0</v>
      </c>
    </row>
    <row r="23" spans="1:8" x14ac:dyDescent="0.35">
      <c r="A23" s="1">
        <f t="shared" si="0"/>
        <v>45830</v>
      </c>
      <c r="B23" s="1" t="str">
        <f t="shared" si="1"/>
        <v>יום ראשון</v>
      </c>
      <c r="C23">
        <v>0</v>
      </c>
      <c r="D23">
        <v>0</v>
      </c>
      <c r="E23" t="s">
        <v>5</v>
      </c>
      <c r="F23">
        <v>0</v>
      </c>
      <c r="H23">
        <v>0</v>
      </c>
    </row>
    <row r="24" spans="1:8" x14ac:dyDescent="0.35">
      <c r="A24" s="1">
        <f t="shared" si="0"/>
        <v>45831</v>
      </c>
      <c r="B24" s="1" t="str">
        <f t="shared" si="1"/>
        <v>יום שני</v>
      </c>
      <c r="C24">
        <v>0</v>
      </c>
      <c r="D24">
        <v>0</v>
      </c>
      <c r="E24" t="s">
        <v>5</v>
      </c>
      <c r="F24">
        <v>0</v>
      </c>
      <c r="H24">
        <v>0</v>
      </c>
    </row>
    <row r="25" spans="1:8" x14ac:dyDescent="0.35">
      <c r="A25" s="1">
        <f t="shared" si="0"/>
        <v>45832</v>
      </c>
      <c r="B25" s="1" t="str">
        <f t="shared" si="1"/>
        <v>יום שלישי</v>
      </c>
      <c r="C25">
        <v>0</v>
      </c>
      <c r="D25">
        <v>0</v>
      </c>
      <c r="E25" t="s">
        <v>5</v>
      </c>
      <c r="F25">
        <v>0</v>
      </c>
      <c r="H25">
        <v>0</v>
      </c>
    </row>
    <row r="26" spans="1:8" x14ac:dyDescent="0.35">
      <c r="A26" s="1">
        <f t="shared" si="0"/>
        <v>45833</v>
      </c>
      <c r="B26" s="1" t="str">
        <f t="shared" si="1"/>
        <v>יום רביעי</v>
      </c>
      <c r="C26">
        <v>553</v>
      </c>
      <c r="D26">
        <v>633</v>
      </c>
      <c r="F26">
        <v>7</v>
      </c>
      <c r="G26">
        <v>498</v>
      </c>
      <c r="H26">
        <v>0</v>
      </c>
    </row>
    <row r="27" spans="1:8" x14ac:dyDescent="0.35">
      <c r="A27" s="1">
        <f t="shared" si="0"/>
        <v>45834</v>
      </c>
      <c r="B27" s="1" t="str">
        <f t="shared" si="1"/>
        <v>יום חמישי</v>
      </c>
      <c r="C27">
        <v>285</v>
      </c>
      <c r="D27">
        <v>581</v>
      </c>
      <c r="F27">
        <v>7</v>
      </c>
      <c r="G27">
        <v>449</v>
      </c>
      <c r="H27">
        <v>0</v>
      </c>
    </row>
    <row r="28" spans="1:8" x14ac:dyDescent="0.35">
      <c r="A28" s="1">
        <f t="shared" si="0"/>
        <v>45835</v>
      </c>
      <c r="B28" s="1" t="str">
        <f t="shared" si="1"/>
        <v>יום שישי</v>
      </c>
      <c r="E28" t="s">
        <v>5</v>
      </c>
      <c r="H28">
        <v>0</v>
      </c>
    </row>
    <row r="29" spans="1:8" x14ac:dyDescent="0.35">
      <c r="A29" s="1">
        <f t="shared" si="0"/>
        <v>45836</v>
      </c>
      <c r="B29" s="1" t="str">
        <f t="shared" si="1"/>
        <v>שבת</v>
      </c>
      <c r="E29" t="s">
        <v>5</v>
      </c>
      <c r="H29">
        <v>0</v>
      </c>
    </row>
    <row r="30" spans="1:8" x14ac:dyDescent="0.35">
      <c r="A30" s="1">
        <f t="shared" si="0"/>
        <v>45837</v>
      </c>
      <c r="B30" s="1" t="str">
        <f t="shared" si="1"/>
        <v>יום ראשון</v>
      </c>
      <c r="C30">
        <v>749</v>
      </c>
      <c r="D30">
        <v>835</v>
      </c>
      <c r="E30" t="s">
        <v>6</v>
      </c>
      <c r="F30">
        <v>6</v>
      </c>
      <c r="G30">
        <v>610</v>
      </c>
      <c r="H30">
        <v>1</v>
      </c>
    </row>
    <row r="31" spans="1:8" x14ac:dyDescent="0.35">
      <c r="A31" s="1">
        <f t="shared" si="0"/>
        <v>45838</v>
      </c>
      <c r="B31" s="1" t="str">
        <f t="shared" si="1"/>
        <v>יום שני</v>
      </c>
      <c r="E31" t="s">
        <v>6</v>
      </c>
      <c r="F31">
        <v>7</v>
      </c>
      <c r="H31">
        <v>1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7C388-1B3E-4C40-A6A2-4436C63CB245}">
  <dimension ref="A1:H32"/>
  <sheetViews>
    <sheetView rightToLeft="1" workbookViewId="0">
      <selection activeCell="A14" sqref="A14:XFD14"/>
    </sheetView>
  </sheetViews>
  <sheetFormatPr defaultRowHeight="14.15" x14ac:dyDescent="0.35"/>
  <cols>
    <col min="1" max="1" width="9.85546875" bestFit="1" customWidth="1"/>
    <col min="7" max="7" width="17.85546875" bestFit="1" customWidth="1"/>
  </cols>
  <sheetData>
    <row r="1" spans="1:8" x14ac:dyDescent="0.35">
      <c r="A1" t="s">
        <v>2</v>
      </c>
      <c r="B1" t="s">
        <v>10</v>
      </c>
      <c r="C1" t="s">
        <v>0</v>
      </c>
      <c r="D1" t="s">
        <v>1</v>
      </c>
      <c r="E1" t="s">
        <v>3</v>
      </c>
      <c r="F1" t="s">
        <v>7</v>
      </c>
      <c r="G1" t="s">
        <v>8</v>
      </c>
      <c r="H1" t="s">
        <v>9</v>
      </c>
    </row>
    <row r="2" spans="1:8" x14ac:dyDescent="0.35">
      <c r="A2" s="1">
        <f t="shared" ref="A2:A31" si="0">DATE(2025,7,1) + ROW(A1) - 1</f>
        <v>45839</v>
      </c>
      <c r="B2" s="1" t="str">
        <f>TEXT(A2,"dddd")</f>
        <v>יום שלישי</v>
      </c>
      <c r="C2">
        <v>255</v>
      </c>
      <c r="D2">
        <v>701</v>
      </c>
      <c r="F2">
        <v>8</v>
      </c>
      <c r="G2">
        <v>459</v>
      </c>
      <c r="H2">
        <v>0</v>
      </c>
    </row>
    <row r="3" spans="1:8" x14ac:dyDescent="0.35">
      <c r="A3" s="1">
        <f t="shared" si="0"/>
        <v>45840</v>
      </c>
      <c r="B3" s="1" t="str">
        <f t="shared" ref="B3:B31" si="1">TEXT(A3,"dddd")</f>
        <v>יום רביעי</v>
      </c>
      <c r="C3">
        <v>182</v>
      </c>
      <c r="D3">
        <v>329</v>
      </c>
      <c r="F3">
        <v>8</v>
      </c>
      <c r="G3">
        <v>264</v>
      </c>
      <c r="H3">
        <v>0</v>
      </c>
    </row>
    <row r="4" spans="1:8" x14ac:dyDescent="0.35">
      <c r="A4" s="1">
        <f t="shared" si="0"/>
        <v>45841</v>
      </c>
      <c r="B4" s="1" t="str">
        <f t="shared" si="1"/>
        <v>יום חמישי</v>
      </c>
      <c r="C4">
        <v>245</v>
      </c>
      <c r="F4">
        <v>8</v>
      </c>
      <c r="G4">
        <v>191</v>
      </c>
      <c r="H4">
        <v>0</v>
      </c>
    </row>
    <row r="5" spans="1:8" x14ac:dyDescent="0.35">
      <c r="A5" s="1">
        <f t="shared" si="0"/>
        <v>45842</v>
      </c>
      <c r="B5" s="1" t="str">
        <f t="shared" si="1"/>
        <v>יום שישי</v>
      </c>
      <c r="E5" t="s">
        <v>5</v>
      </c>
      <c r="H5">
        <v>0</v>
      </c>
    </row>
    <row r="6" spans="1:8" x14ac:dyDescent="0.35">
      <c r="A6" s="1">
        <f t="shared" si="0"/>
        <v>45843</v>
      </c>
      <c r="B6" s="1" t="str">
        <f t="shared" si="1"/>
        <v>שבת</v>
      </c>
      <c r="E6" t="s">
        <v>5</v>
      </c>
      <c r="H6">
        <v>0</v>
      </c>
    </row>
    <row r="7" spans="1:8" x14ac:dyDescent="0.35">
      <c r="A7" s="1">
        <f t="shared" si="0"/>
        <v>45844</v>
      </c>
      <c r="B7" s="1" t="str">
        <f t="shared" si="1"/>
        <v>יום ראשון</v>
      </c>
      <c r="C7">
        <v>291</v>
      </c>
      <c r="D7">
        <v>255</v>
      </c>
      <c r="F7">
        <v>8</v>
      </c>
      <c r="G7">
        <v>225</v>
      </c>
      <c r="H7">
        <v>0</v>
      </c>
    </row>
    <row r="8" spans="1:8" x14ac:dyDescent="0.35">
      <c r="A8" s="1">
        <f t="shared" si="0"/>
        <v>45845</v>
      </c>
      <c r="B8" s="1" t="str">
        <f t="shared" si="1"/>
        <v>יום שני</v>
      </c>
      <c r="C8">
        <v>206</v>
      </c>
      <c r="D8">
        <v>520</v>
      </c>
      <c r="E8" t="s">
        <v>4</v>
      </c>
      <c r="F8">
        <v>8</v>
      </c>
      <c r="G8">
        <v>417</v>
      </c>
      <c r="H8">
        <v>1</v>
      </c>
    </row>
    <row r="9" spans="1:8" x14ac:dyDescent="0.35">
      <c r="A9" s="1">
        <f t="shared" si="0"/>
        <v>45846</v>
      </c>
      <c r="B9" s="1" t="str">
        <f t="shared" si="1"/>
        <v>יום שלישי</v>
      </c>
      <c r="C9">
        <v>438</v>
      </c>
      <c r="D9">
        <v>400</v>
      </c>
      <c r="E9" t="s">
        <v>4</v>
      </c>
      <c r="F9">
        <v>8</v>
      </c>
      <c r="G9">
        <v>333</v>
      </c>
      <c r="H9">
        <v>1</v>
      </c>
    </row>
    <row r="10" spans="1:8" x14ac:dyDescent="0.35">
      <c r="A10" s="1">
        <f t="shared" si="0"/>
        <v>45847</v>
      </c>
      <c r="B10" s="1" t="str">
        <f t="shared" si="1"/>
        <v>יום רביעי</v>
      </c>
      <c r="C10">
        <v>117</v>
      </c>
      <c r="D10">
        <v>335</v>
      </c>
      <c r="E10" t="s">
        <v>4</v>
      </c>
      <c r="F10">
        <v>8</v>
      </c>
      <c r="G10">
        <v>274</v>
      </c>
      <c r="H10">
        <v>1</v>
      </c>
    </row>
    <row r="11" spans="1:8" x14ac:dyDescent="0.35">
      <c r="A11" s="1">
        <f t="shared" si="0"/>
        <v>45848</v>
      </c>
      <c r="B11" s="1" t="str">
        <f t="shared" si="1"/>
        <v>יום חמישי</v>
      </c>
      <c r="C11">
        <v>296</v>
      </c>
      <c r="D11">
        <v>293</v>
      </c>
      <c r="E11" t="s">
        <v>4</v>
      </c>
      <c r="F11">
        <v>8</v>
      </c>
      <c r="G11">
        <v>247</v>
      </c>
      <c r="H11">
        <v>1</v>
      </c>
    </row>
    <row r="12" spans="1:8" x14ac:dyDescent="0.35">
      <c r="A12" s="1">
        <f t="shared" si="0"/>
        <v>45849</v>
      </c>
      <c r="B12" s="1" t="str">
        <f t="shared" si="1"/>
        <v>יום שישי</v>
      </c>
      <c r="E12" t="s">
        <v>5</v>
      </c>
      <c r="H12">
        <v>1</v>
      </c>
    </row>
    <row r="13" spans="1:8" x14ac:dyDescent="0.35">
      <c r="A13" s="1">
        <f t="shared" si="0"/>
        <v>45850</v>
      </c>
      <c r="B13" s="1" t="str">
        <f t="shared" si="1"/>
        <v>שבת</v>
      </c>
      <c r="E13" t="s">
        <v>5</v>
      </c>
      <c r="H13">
        <v>0</v>
      </c>
    </row>
    <row r="14" spans="1:8" x14ac:dyDescent="0.35">
      <c r="A14" s="1">
        <f t="shared" si="0"/>
        <v>45851</v>
      </c>
      <c r="B14" s="1" t="str">
        <f t="shared" si="1"/>
        <v>יום ראשון</v>
      </c>
      <c r="C14">
        <v>220</v>
      </c>
      <c r="D14">
        <v>305</v>
      </c>
      <c r="F14">
        <v>8</v>
      </c>
      <c r="G14">
        <v>254</v>
      </c>
      <c r="H14">
        <v>0</v>
      </c>
    </row>
    <row r="15" spans="1:8" x14ac:dyDescent="0.35">
      <c r="A15" s="1">
        <f t="shared" si="0"/>
        <v>45852</v>
      </c>
      <c r="B15" s="1" t="str">
        <f t="shared" si="1"/>
        <v>יום שני</v>
      </c>
      <c r="C15">
        <v>664</v>
      </c>
      <c r="D15">
        <v>282</v>
      </c>
      <c r="F15">
        <v>8</v>
      </c>
      <c r="G15">
        <v>220</v>
      </c>
      <c r="H15">
        <v>0</v>
      </c>
    </row>
    <row r="16" spans="1:8" x14ac:dyDescent="0.35">
      <c r="A16" s="1">
        <f t="shared" si="0"/>
        <v>45853</v>
      </c>
      <c r="B16" s="1" t="str">
        <f t="shared" si="1"/>
        <v>יום שלישי</v>
      </c>
      <c r="C16">
        <v>374</v>
      </c>
      <c r="D16">
        <v>276</v>
      </c>
      <c r="F16">
        <v>8</v>
      </c>
      <c r="G16">
        <v>235</v>
      </c>
      <c r="H16">
        <v>0</v>
      </c>
    </row>
    <row r="17" spans="1:8" x14ac:dyDescent="0.35">
      <c r="A17" s="1">
        <f t="shared" si="0"/>
        <v>45854</v>
      </c>
      <c r="B17" s="1" t="str">
        <f t="shared" si="1"/>
        <v>יום רביעי</v>
      </c>
      <c r="C17">
        <v>299</v>
      </c>
      <c r="D17">
        <v>238</v>
      </c>
      <c r="F17">
        <v>8</v>
      </c>
      <c r="G17">
        <v>200</v>
      </c>
      <c r="H17">
        <v>0</v>
      </c>
    </row>
    <row r="18" spans="1:8" x14ac:dyDescent="0.35">
      <c r="A18" s="1">
        <f t="shared" si="0"/>
        <v>45855</v>
      </c>
      <c r="B18" s="1" t="str">
        <f t="shared" si="1"/>
        <v>יום חמישי</v>
      </c>
      <c r="C18">
        <v>254</v>
      </c>
      <c r="D18">
        <v>227</v>
      </c>
      <c r="F18">
        <v>8</v>
      </c>
      <c r="G18">
        <v>201</v>
      </c>
      <c r="H18">
        <v>0</v>
      </c>
    </row>
    <row r="19" spans="1:8" x14ac:dyDescent="0.35">
      <c r="A19" s="1">
        <f t="shared" si="0"/>
        <v>45856</v>
      </c>
      <c r="B19" s="1" t="str">
        <f t="shared" si="1"/>
        <v>יום שישי</v>
      </c>
      <c r="E19" t="s">
        <v>5</v>
      </c>
      <c r="H19">
        <v>0</v>
      </c>
    </row>
    <row r="20" spans="1:8" x14ac:dyDescent="0.35">
      <c r="A20" s="1">
        <f t="shared" si="0"/>
        <v>45857</v>
      </c>
      <c r="B20" s="1" t="str">
        <f t="shared" si="1"/>
        <v>שבת</v>
      </c>
      <c r="E20" t="s">
        <v>5</v>
      </c>
      <c r="H20">
        <v>0</v>
      </c>
    </row>
    <row r="21" spans="1:8" x14ac:dyDescent="0.35">
      <c r="A21" s="1">
        <f t="shared" si="0"/>
        <v>45858</v>
      </c>
      <c r="B21" s="1" t="str">
        <f t="shared" si="1"/>
        <v>יום ראשון</v>
      </c>
      <c r="C21">
        <v>14</v>
      </c>
      <c r="E21" t="s">
        <v>5</v>
      </c>
      <c r="H21">
        <v>0</v>
      </c>
    </row>
    <row r="22" spans="1:8" x14ac:dyDescent="0.35">
      <c r="A22" s="1">
        <f t="shared" si="0"/>
        <v>45859</v>
      </c>
      <c r="B22" s="1" t="str">
        <f t="shared" si="1"/>
        <v>יום שני</v>
      </c>
      <c r="C22">
        <v>364</v>
      </c>
      <c r="D22">
        <v>317</v>
      </c>
      <c r="F22">
        <v>8</v>
      </c>
      <c r="G22">
        <v>268</v>
      </c>
      <c r="H22">
        <v>0</v>
      </c>
    </row>
    <row r="23" spans="1:8" x14ac:dyDescent="0.35">
      <c r="A23" s="1">
        <f t="shared" si="0"/>
        <v>45860</v>
      </c>
      <c r="B23" s="1" t="str">
        <f t="shared" si="1"/>
        <v>יום שלישי</v>
      </c>
      <c r="C23">
        <v>315</v>
      </c>
      <c r="D23">
        <v>296</v>
      </c>
      <c r="F23">
        <v>8</v>
      </c>
      <c r="G23">
        <v>256</v>
      </c>
      <c r="H23">
        <v>0</v>
      </c>
    </row>
    <row r="24" spans="1:8" x14ac:dyDescent="0.35">
      <c r="A24" s="1">
        <f t="shared" si="0"/>
        <v>45861</v>
      </c>
      <c r="B24" s="1" t="str">
        <f t="shared" si="1"/>
        <v>יום רביעי</v>
      </c>
      <c r="C24">
        <v>284</v>
      </c>
      <c r="D24">
        <v>283</v>
      </c>
      <c r="F24">
        <v>8</v>
      </c>
      <c r="G24">
        <v>238</v>
      </c>
      <c r="H24">
        <v>0</v>
      </c>
    </row>
    <row r="25" spans="1:8" x14ac:dyDescent="0.35">
      <c r="A25" s="1">
        <f t="shared" si="0"/>
        <v>45862</v>
      </c>
      <c r="B25" s="1" t="str">
        <f t="shared" si="1"/>
        <v>יום חמישי</v>
      </c>
      <c r="C25">
        <v>352</v>
      </c>
      <c r="D25">
        <v>283</v>
      </c>
      <c r="F25">
        <v>8</v>
      </c>
      <c r="G25">
        <v>237</v>
      </c>
      <c r="H25">
        <v>0</v>
      </c>
    </row>
    <row r="26" spans="1:8" x14ac:dyDescent="0.35">
      <c r="A26" s="1">
        <f t="shared" si="0"/>
        <v>45863</v>
      </c>
      <c r="B26" s="1" t="str">
        <f t="shared" si="1"/>
        <v>יום שישי</v>
      </c>
      <c r="E26" t="s">
        <v>5</v>
      </c>
      <c r="H26">
        <v>0</v>
      </c>
    </row>
    <row r="27" spans="1:8" x14ac:dyDescent="0.35">
      <c r="A27" s="1">
        <f t="shared" si="0"/>
        <v>45864</v>
      </c>
      <c r="B27" s="1" t="str">
        <f t="shared" si="1"/>
        <v>שבת</v>
      </c>
      <c r="E27" t="s">
        <v>5</v>
      </c>
      <c r="H27">
        <v>0</v>
      </c>
    </row>
    <row r="28" spans="1:8" x14ac:dyDescent="0.35">
      <c r="A28" s="1">
        <f t="shared" si="0"/>
        <v>45865</v>
      </c>
      <c r="B28" s="1" t="str">
        <f t="shared" si="1"/>
        <v>יום ראשון</v>
      </c>
      <c r="C28">
        <v>291</v>
      </c>
      <c r="D28">
        <v>325</v>
      </c>
      <c r="F28">
        <v>8</v>
      </c>
      <c r="G28">
        <v>285</v>
      </c>
      <c r="H28">
        <v>0</v>
      </c>
    </row>
    <row r="29" spans="1:8" x14ac:dyDescent="0.35">
      <c r="A29" s="1">
        <f t="shared" si="0"/>
        <v>45866</v>
      </c>
      <c r="B29" s="1" t="str">
        <f t="shared" si="1"/>
        <v>יום שני</v>
      </c>
      <c r="C29">
        <v>460</v>
      </c>
      <c r="D29">
        <v>418</v>
      </c>
      <c r="E29" t="s">
        <v>6</v>
      </c>
      <c r="F29">
        <v>8</v>
      </c>
      <c r="G29">
        <v>344</v>
      </c>
      <c r="H29">
        <v>1</v>
      </c>
    </row>
    <row r="30" spans="1:8" x14ac:dyDescent="0.35">
      <c r="A30" s="1">
        <f t="shared" si="0"/>
        <v>45867</v>
      </c>
      <c r="B30" s="1" t="str">
        <f t="shared" si="1"/>
        <v>יום שלישי</v>
      </c>
      <c r="C30">
        <v>301</v>
      </c>
      <c r="D30">
        <v>385</v>
      </c>
      <c r="E30" t="s">
        <v>6</v>
      </c>
      <c r="F30">
        <v>8</v>
      </c>
      <c r="G30">
        <v>320</v>
      </c>
      <c r="H30">
        <v>1</v>
      </c>
    </row>
    <row r="31" spans="1:8" x14ac:dyDescent="0.35">
      <c r="A31" s="1">
        <f t="shared" si="0"/>
        <v>45868</v>
      </c>
      <c r="B31" s="1" t="str">
        <f t="shared" si="1"/>
        <v>יום רביעי</v>
      </c>
      <c r="C31">
        <v>387</v>
      </c>
      <c r="D31">
        <v>369</v>
      </c>
      <c r="E31" t="s">
        <v>6</v>
      </c>
      <c r="F31">
        <v>8</v>
      </c>
      <c r="G31">
        <v>301</v>
      </c>
      <c r="H31">
        <v>1</v>
      </c>
    </row>
    <row r="32" spans="1:8" x14ac:dyDescent="0.35">
      <c r="A32" s="1">
        <f>DATE(2025,7,1) + ROW(A31) - 1</f>
        <v>45869</v>
      </c>
      <c r="B32" s="1" t="str">
        <f>TEXT(A32,"dddd")</f>
        <v>יום חמישי</v>
      </c>
      <c r="C32">
        <v>375</v>
      </c>
      <c r="D32">
        <v>458</v>
      </c>
      <c r="E32" t="s">
        <v>6</v>
      </c>
      <c r="F32">
        <v>8</v>
      </c>
      <c r="G32">
        <v>371</v>
      </c>
      <c r="H32">
        <v>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C0F96-58F1-453E-88C9-19F2A8F4F90C}">
  <dimension ref="A1:I33"/>
  <sheetViews>
    <sheetView rightToLeft="1" workbookViewId="0">
      <selection activeCell="A19" sqref="A19:XFD19"/>
    </sheetView>
  </sheetViews>
  <sheetFormatPr defaultRowHeight="14.15" x14ac:dyDescent="0.35"/>
  <cols>
    <col min="1" max="1" width="9.85546875" bestFit="1" customWidth="1"/>
    <col min="3" max="3" width="18.35546875" bestFit="1" customWidth="1"/>
    <col min="4" max="4" width="13.5" bestFit="1" customWidth="1"/>
    <col min="5" max="5" width="7.7109375" bestFit="1" customWidth="1"/>
    <col min="6" max="6" width="12.5" bestFit="1" customWidth="1"/>
    <col min="7" max="7" width="17.85546875" bestFit="1" customWidth="1"/>
  </cols>
  <sheetData>
    <row r="1" spans="1:9" x14ac:dyDescent="0.35">
      <c r="A1" t="s">
        <v>2</v>
      </c>
      <c r="B1" t="s">
        <v>10</v>
      </c>
      <c r="C1" t="s">
        <v>0</v>
      </c>
      <c r="D1" t="s">
        <v>1</v>
      </c>
      <c r="E1" t="s">
        <v>3</v>
      </c>
      <c r="F1" t="s">
        <v>7</v>
      </c>
      <c r="G1" t="s">
        <v>8</v>
      </c>
      <c r="H1" t="s">
        <v>15</v>
      </c>
      <c r="I1" t="s">
        <v>16</v>
      </c>
    </row>
    <row r="2" spans="1:9" x14ac:dyDescent="0.35">
      <c r="A2" s="1">
        <f t="shared" ref="A2:A32" si="0">DATE(2024,8,1) + ROW(A1) - 1</f>
        <v>45505</v>
      </c>
      <c r="B2" s="1" t="str">
        <f>TEXT(A2,"dddd")</f>
        <v>יום חמישי</v>
      </c>
      <c r="C2">
        <v>194</v>
      </c>
      <c r="D2">
        <v>339</v>
      </c>
      <c r="F2">
        <v>14</v>
      </c>
      <c r="G2">
        <v>301</v>
      </c>
      <c r="H2">
        <f t="shared" ref="H2:H32" si="1">D2-G2</f>
        <v>38</v>
      </c>
      <c r="I2">
        <f t="shared" ref="I2:I30" si="2">H2/D2</f>
        <v>0.11209439528023599</v>
      </c>
    </row>
    <row r="3" spans="1:9" x14ac:dyDescent="0.35">
      <c r="A3" s="1">
        <f t="shared" si="0"/>
        <v>45506</v>
      </c>
      <c r="B3" s="1" t="str">
        <f t="shared" ref="B3:B31" si="3">TEXT(A3,"dddd")</f>
        <v>יום שישי</v>
      </c>
      <c r="E3" t="s">
        <v>5</v>
      </c>
      <c r="H3">
        <f t="shared" si="1"/>
        <v>0</v>
      </c>
      <c r="I3">
        <v>0</v>
      </c>
    </row>
    <row r="4" spans="1:9" x14ac:dyDescent="0.35">
      <c r="A4" s="1">
        <f t="shared" si="0"/>
        <v>45507</v>
      </c>
      <c r="B4" s="1" t="str">
        <f t="shared" si="3"/>
        <v>שבת</v>
      </c>
      <c r="E4" t="s">
        <v>5</v>
      </c>
      <c r="H4">
        <f t="shared" si="1"/>
        <v>0</v>
      </c>
      <c r="I4">
        <v>0</v>
      </c>
    </row>
    <row r="5" spans="1:9" x14ac:dyDescent="0.35">
      <c r="A5" s="1">
        <f t="shared" si="0"/>
        <v>45508</v>
      </c>
      <c r="B5" s="1" t="str">
        <f t="shared" si="3"/>
        <v>יום ראשון</v>
      </c>
      <c r="C5">
        <v>220</v>
      </c>
      <c r="D5">
        <v>272</v>
      </c>
      <c r="F5">
        <v>11</v>
      </c>
      <c r="G5">
        <v>229</v>
      </c>
      <c r="H5">
        <f t="shared" si="1"/>
        <v>43</v>
      </c>
      <c r="I5">
        <f t="shared" si="2"/>
        <v>0.15808823529411764</v>
      </c>
    </row>
    <row r="6" spans="1:9" x14ac:dyDescent="0.35">
      <c r="A6" s="1">
        <f t="shared" si="0"/>
        <v>45509</v>
      </c>
      <c r="B6" s="1" t="str">
        <f t="shared" si="3"/>
        <v>יום שני</v>
      </c>
      <c r="C6">
        <v>200</v>
      </c>
      <c r="D6">
        <v>239</v>
      </c>
      <c r="G6">
        <v>214</v>
      </c>
      <c r="H6">
        <f t="shared" si="1"/>
        <v>25</v>
      </c>
      <c r="I6">
        <f t="shared" si="2"/>
        <v>0.10460251046025104</v>
      </c>
    </row>
    <row r="7" spans="1:9" x14ac:dyDescent="0.35">
      <c r="A7" s="1">
        <f t="shared" si="0"/>
        <v>45510</v>
      </c>
      <c r="B7" s="1" t="str">
        <f t="shared" si="3"/>
        <v>יום שלישי</v>
      </c>
      <c r="C7">
        <v>168</v>
      </c>
      <c r="D7">
        <v>192</v>
      </c>
      <c r="F7">
        <v>9</v>
      </c>
      <c r="G7">
        <v>178</v>
      </c>
      <c r="H7">
        <f t="shared" si="1"/>
        <v>14</v>
      </c>
      <c r="I7">
        <f t="shared" si="2"/>
        <v>7.2916666666666671E-2</v>
      </c>
    </row>
    <row r="8" spans="1:9" x14ac:dyDescent="0.35">
      <c r="A8" s="1">
        <f t="shared" si="0"/>
        <v>45511</v>
      </c>
      <c r="B8" s="1" t="str">
        <f t="shared" si="3"/>
        <v>יום רביעי</v>
      </c>
      <c r="C8">
        <v>298</v>
      </c>
      <c r="D8">
        <v>596</v>
      </c>
      <c r="E8" t="s">
        <v>11</v>
      </c>
      <c r="F8">
        <v>15</v>
      </c>
      <c r="G8">
        <v>505</v>
      </c>
      <c r="H8">
        <f t="shared" si="1"/>
        <v>91</v>
      </c>
      <c r="I8">
        <f t="shared" si="2"/>
        <v>0.15268456375838926</v>
      </c>
    </row>
    <row r="9" spans="1:9" x14ac:dyDescent="0.35">
      <c r="A9" s="1">
        <f t="shared" si="0"/>
        <v>45512</v>
      </c>
      <c r="B9" s="1" t="str">
        <f t="shared" si="3"/>
        <v>יום חמישי</v>
      </c>
      <c r="C9">
        <v>277</v>
      </c>
      <c r="D9">
        <v>369</v>
      </c>
      <c r="E9" t="s">
        <v>4</v>
      </c>
      <c r="F9">
        <v>12</v>
      </c>
      <c r="G9">
        <v>308</v>
      </c>
      <c r="H9">
        <f t="shared" si="1"/>
        <v>61</v>
      </c>
      <c r="I9">
        <f t="shared" si="2"/>
        <v>0.16531165311653118</v>
      </c>
    </row>
    <row r="10" spans="1:9" x14ac:dyDescent="0.35">
      <c r="A10" s="1">
        <f t="shared" si="0"/>
        <v>45513</v>
      </c>
      <c r="B10" s="1" t="str">
        <f t="shared" si="3"/>
        <v>יום שישי</v>
      </c>
      <c r="E10" t="s">
        <v>5</v>
      </c>
      <c r="H10">
        <f t="shared" si="1"/>
        <v>0</v>
      </c>
      <c r="I10">
        <v>0</v>
      </c>
    </row>
    <row r="11" spans="1:9" x14ac:dyDescent="0.35">
      <c r="A11" s="1">
        <f t="shared" si="0"/>
        <v>45514</v>
      </c>
      <c r="B11" s="1" t="str">
        <f t="shared" si="3"/>
        <v>שבת</v>
      </c>
      <c r="E11" t="s">
        <v>5</v>
      </c>
      <c r="H11">
        <f t="shared" si="1"/>
        <v>0</v>
      </c>
      <c r="I11">
        <v>0</v>
      </c>
    </row>
    <row r="12" spans="1:9" x14ac:dyDescent="0.35">
      <c r="A12" s="1">
        <f t="shared" si="0"/>
        <v>45515</v>
      </c>
      <c r="B12" s="1" t="str">
        <f t="shared" si="3"/>
        <v>יום ראשון</v>
      </c>
      <c r="C12">
        <v>341</v>
      </c>
      <c r="D12">
        <v>350</v>
      </c>
      <c r="E12" t="s">
        <v>4</v>
      </c>
      <c r="F12">
        <v>12</v>
      </c>
      <c r="G12">
        <v>299</v>
      </c>
      <c r="H12">
        <f t="shared" si="1"/>
        <v>51</v>
      </c>
      <c r="I12">
        <f t="shared" si="2"/>
        <v>0.14571428571428571</v>
      </c>
    </row>
    <row r="13" spans="1:9" x14ac:dyDescent="0.35">
      <c r="A13" s="1">
        <f t="shared" si="0"/>
        <v>45516</v>
      </c>
      <c r="B13" s="1" t="str">
        <f t="shared" si="3"/>
        <v>יום שני</v>
      </c>
      <c r="C13">
        <v>265</v>
      </c>
      <c r="D13">
        <v>448</v>
      </c>
      <c r="E13" t="s">
        <v>4</v>
      </c>
      <c r="F13">
        <v>12</v>
      </c>
      <c r="G13">
        <v>384</v>
      </c>
      <c r="H13">
        <f t="shared" si="1"/>
        <v>64</v>
      </c>
      <c r="I13">
        <f t="shared" si="2"/>
        <v>0.14285714285714285</v>
      </c>
    </row>
    <row r="14" spans="1:9" x14ac:dyDescent="0.35">
      <c r="A14" s="1">
        <f t="shared" si="0"/>
        <v>45517</v>
      </c>
      <c r="B14" s="1" t="str">
        <f t="shared" si="3"/>
        <v>יום שלישי</v>
      </c>
      <c r="C14">
        <v>214</v>
      </c>
      <c r="D14">
        <v>226</v>
      </c>
      <c r="E14" t="s">
        <v>12</v>
      </c>
      <c r="F14">
        <v>9</v>
      </c>
      <c r="G14">
        <v>198</v>
      </c>
      <c r="H14">
        <f t="shared" si="1"/>
        <v>28</v>
      </c>
      <c r="I14">
        <f t="shared" si="2"/>
        <v>0.12389380530973451</v>
      </c>
    </row>
    <row r="15" spans="1:9" x14ac:dyDescent="0.35">
      <c r="A15" s="1">
        <f t="shared" si="0"/>
        <v>45518</v>
      </c>
      <c r="B15" s="1" t="str">
        <f t="shared" si="3"/>
        <v>יום רביעי</v>
      </c>
      <c r="C15">
        <v>246</v>
      </c>
      <c r="D15">
        <v>265</v>
      </c>
      <c r="F15">
        <v>11</v>
      </c>
      <c r="G15">
        <v>224</v>
      </c>
      <c r="H15">
        <f t="shared" si="1"/>
        <v>41</v>
      </c>
      <c r="I15">
        <f t="shared" si="2"/>
        <v>0.15471698113207547</v>
      </c>
    </row>
    <row r="16" spans="1:9" x14ac:dyDescent="0.35">
      <c r="A16" s="1">
        <f t="shared" si="0"/>
        <v>45519</v>
      </c>
      <c r="B16" s="1" t="str">
        <f t="shared" si="3"/>
        <v>יום חמישי</v>
      </c>
      <c r="C16">
        <v>179</v>
      </c>
      <c r="D16">
        <v>247</v>
      </c>
      <c r="F16">
        <v>12</v>
      </c>
      <c r="G16">
        <v>212</v>
      </c>
      <c r="H16">
        <f t="shared" si="1"/>
        <v>35</v>
      </c>
      <c r="I16">
        <f t="shared" si="2"/>
        <v>0.1417004048582996</v>
      </c>
    </row>
    <row r="17" spans="1:9" x14ac:dyDescent="0.35">
      <c r="A17" s="1">
        <f t="shared" si="0"/>
        <v>45520</v>
      </c>
      <c r="B17" s="1" t="str">
        <f t="shared" si="3"/>
        <v>יום שישי</v>
      </c>
      <c r="E17" t="s">
        <v>5</v>
      </c>
      <c r="H17">
        <f t="shared" si="1"/>
        <v>0</v>
      </c>
      <c r="I17">
        <v>0</v>
      </c>
    </row>
    <row r="18" spans="1:9" x14ac:dyDescent="0.35">
      <c r="A18" s="1">
        <f t="shared" si="0"/>
        <v>45521</v>
      </c>
      <c r="B18" s="1" t="str">
        <f t="shared" si="3"/>
        <v>שבת</v>
      </c>
      <c r="E18" t="s">
        <v>5</v>
      </c>
      <c r="H18">
        <f t="shared" si="1"/>
        <v>0</v>
      </c>
      <c r="I18">
        <v>0</v>
      </c>
    </row>
    <row r="19" spans="1:9" x14ac:dyDescent="0.35">
      <c r="A19" s="1">
        <f t="shared" si="0"/>
        <v>45522</v>
      </c>
      <c r="B19" s="1" t="str">
        <f t="shared" si="3"/>
        <v>יום ראשון</v>
      </c>
      <c r="C19">
        <v>384</v>
      </c>
      <c r="D19">
        <v>342</v>
      </c>
      <c r="F19">
        <v>13</v>
      </c>
      <c r="G19">
        <v>297</v>
      </c>
      <c r="H19">
        <f t="shared" si="1"/>
        <v>45</v>
      </c>
      <c r="I19">
        <f t="shared" si="2"/>
        <v>0.13157894736842105</v>
      </c>
    </row>
    <row r="20" spans="1:9" x14ac:dyDescent="0.35">
      <c r="A20" s="1">
        <f t="shared" si="0"/>
        <v>45523</v>
      </c>
      <c r="B20" s="1" t="str">
        <f t="shared" si="3"/>
        <v>יום שני</v>
      </c>
      <c r="C20">
        <v>309</v>
      </c>
      <c r="D20">
        <v>266</v>
      </c>
      <c r="F20">
        <v>11</v>
      </c>
      <c r="G20">
        <v>244</v>
      </c>
      <c r="H20">
        <f t="shared" si="1"/>
        <v>22</v>
      </c>
      <c r="I20">
        <f t="shared" si="2"/>
        <v>8.2706766917293228E-2</v>
      </c>
    </row>
    <row r="21" spans="1:9" x14ac:dyDescent="0.35">
      <c r="A21" s="1">
        <f t="shared" si="0"/>
        <v>45524</v>
      </c>
      <c r="B21" s="1" t="str">
        <f t="shared" si="3"/>
        <v>יום שלישי</v>
      </c>
      <c r="C21">
        <v>282</v>
      </c>
      <c r="D21">
        <v>320</v>
      </c>
      <c r="F21">
        <v>15</v>
      </c>
      <c r="G21">
        <v>283</v>
      </c>
      <c r="H21">
        <f t="shared" si="1"/>
        <v>37</v>
      </c>
      <c r="I21">
        <f t="shared" si="2"/>
        <v>0.11562500000000001</v>
      </c>
    </row>
    <row r="22" spans="1:9" x14ac:dyDescent="0.35">
      <c r="A22" s="1">
        <f t="shared" si="0"/>
        <v>45525</v>
      </c>
      <c r="B22" s="1" t="str">
        <f t="shared" si="3"/>
        <v>יום רביעי</v>
      </c>
      <c r="C22">
        <v>337</v>
      </c>
      <c r="D22">
        <v>303</v>
      </c>
      <c r="F22">
        <v>11</v>
      </c>
      <c r="G22">
        <v>269</v>
      </c>
      <c r="H22">
        <f t="shared" si="1"/>
        <v>34</v>
      </c>
      <c r="I22">
        <f t="shared" si="2"/>
        <v>0.11221122112211221</v>
      </c>
    </row>
    <row r="23" spans="1:9" x14ac:dyDescent="0.35">
      <c r="A23" s="1">
        <f t="shared" si="0"/>
        <v>45526</v>
      </c>
      <c r="B23" s="1" t="str">
        <f t="shared" si="3"/>
        <v>יום חמישי</v>
      </c>
      <c r="C23">
        <v>272</v>
      </c>
      <c r="D23">
        <v>423</v>
      </c>
      <c r="F23">
        <v>14</v>
      </c>
      <c r="G23">
        <v>380</v>
      </c>
      <c r="H23">
        <f t="shared" si="1"/>
        <v>43</v>
      </c>
      <c r="I23">
        <f t="shared" si="2"/>
        <v>0.10165484633569739</v>
      </c>
    </row>
    <row r="24" spans="1:9" x14ac:dyDescent="0.35">
      <c r="A24" s="1">
        <f t="shared" si="0"/>
        <v>45527</v>
      </c>
      <c r="B24" s="1" t="str">
        <f t="shared" si="3"/>
        <v>יום שישי</v>
      </c>
      <c r="C24">
        <v>0</v>
      </c>
      <c r="D24">
        <v>0</v>
      </c>
      <c r="E24" t="s">
        <v>5</v>
      </c>
      <c r="H24">
        <f t="shared" si="1"/>
        <v>0</v>
      </c>
      <c r="I24">
        <v>0</v>
      </c>
    </row>
    <row r="25" spans="1:9" x14ac:dyDescent="0.35">
      <c r="A25" s="1">
        <f t="shared" si="0"/>
        <v>45528</v>
      </c>
      <c r="B25" s="1" t="str">
        <f t="shared" si="3"/>
        <v>שבת</v>
      </c>
      <c r="C25">
        <v>0</v>
      </c>
      <c r="D25">
        <v>0</v>
      </c>
      <c r="E25" t="s">
        <v>5</v>
      </c>
      <c r="H25">
        <f t="shared" si="1"/>
        <v>0</v>
      </c>
      <c r="I25">
        <v>0</v>
      </c>
    </row>
    <row r="26" spans="1:9" x14ac:dyDescent="0.35">
      <c r="A26" s="1">
        <f t="shared" si="0"/>
        <v>45529</v>
      </c>
      <c r="B26" s="1" t="str">
        <f t="shared" si="3"/>
        <v>יום ראשון</v>
      </c>
      <c r="C26">
        <v>267</v>
      </c>
      <c r="D26">
        <v>371</v>
      </c>
      <c r="F26">
        <v>10</v>
      </c>
      <c r="G26">
        <v>327</v>
      </c>
      <c r="H26">
        <f t="shared" si="1"/>
        <v>44</v>
      </c>
      <c r="I26">
        <f t="shared" si="2"/>
        <v>0.11859838274932614</v>
      </c>
    </row>
    <row r="27" spans="1:9" x14ac:dyDescent="0.35">
      <c r="A27" s="1">
        <f t="shared" si="0"/>
        <v>45530</v>
      </c>
      <c r="B27" s="1" t="str">
        <f t="shared" si="3"/>
        <v>יום שני</v>
      </c>
      <c r="C27">
        <v>249</v>
      </c>
      <c r="D27">
        <v>329</v>
      </c>
      <c r="F27">
        <v>9</v>
      </c>
      <c r="G27">
        <v>291</v>
      </c>
      <c r="H27">
        <f t="shared" si="1"/>
        <v>38</v>
      </c>
      <c r="I27">
        <f t="shared" si="2"/>
        <v>0.11550151975683891</v>
      </c>
    </row>
    <row r="28" spans="1:9" x14ac:dyDescent="0.35">
      <c r="A28" s="1">
        <f t="shared" si="0"/>
        <v>45531</v>
      </c>
      <c r="B28" s="1" t="str">
        <f t="shared" si="3"/>
        <v>יום שלישי</v>
      </c>
      <c r="C28">
        <v>217</v>
      </c>
      <c r="D28">
        <v>318</v>
      </c>
      <c r="F28">
        <v>11</v>
      </c>
      <c r="G28">
        <v>265</v>
      </c>
      <c r="H28">
        <f t="shared" si="1"/>
        <v>53</v>
      </c>
      <c r="I28">
        <f t="shared" si="2"/>
        <v>0.16666666666666666</v>
      </c>
    </row>
    <row r="29" spans="1:9" x14ac:dyDescent="0.35">
      <c r="A29" s="1">
        <f t="shared" si="0"/>
        <v>45532</v>
      </c>
      <c r="B29" s="1" t="str">
        <f t="shared" si="3"/>
        <v>יום רביעי</v>
      </c>
      <c r="C29">
        <v>208</v>
      </c>
      <c r="D29">
        <v>383</v>
      </c>
      <c r="E29" t="s">
        <v>6</v>
      </c>
      <c r="F29">
        <v>12</v>
      </c>
      <c r="G29">
        <v>326</v>
      </c>
      <c r="H29">
        <f t="shared" si="1"/>
        <v>57</v>
      </c>
      <c r="I29">
        <f t="shared" si="2"/>
        <v>0.14882506527415143</v>
      </c>
    </row>
    <row r="30" spans="1:9" x14ac:dyDescent="0.35">
      <c r="A30" s="1">
        <f t="shared" si="0"/>
        <v>45533</v>
      </c>
      <c r="B30" s="1" t="str">
        <f t="shared" si="3"/>
        <v>יום חמישי</v>
      </c>
      <c r="C30">
        <v>202</v>
      </c>
      <c r="D30">
        <v>322</v>
      </c>
      <c r="E30" t="s">
        <v>6</v>
      </c>
      <c r="F30">
        <v>13</v>
      </c>
      <c r="G30">
        <v>274</v>
      </c>
      <c r="H30">
        <f t="shared" si="1"/>
        <v>48</v>
      </c>
      <c r="I30">
        <f t="shared" si="2"/>
        <v>0.14906832298136646</v>
      </c>
    </row>
    <row r="31" spans="1:9" x14ac:dyDescent="0.35">
      <c r="A31" s="1">
        <f t="shared" si="0"/>
        <v>45534</v>
      </c>
      <c r="B31" s="1" t="str">
        <f t="shared" si="3"/>
        <v>יום שישי</v>
      </c>
      <c r="E31" t="s">
        <v>5</v>
      </c>
      <c r="H31">
        <f t="shared" si="1"/>
        <v>0</v>
      </c>
    </row>
    <row r="32" spans="1:9" x14ac:dyDescent="0.35">
      <c r="A32" s="1">
        <f t="shared" si="0"/>
        <v>45535</v>
      </c>
      <c r="B32" s="1" t="str">
        <f>TEXT(A32,"dddd")</f>
        <v>שבת</v>
      </c>
      <c r="E32" t="s">
        <v>5</v>
      </c>
      <c r="H32">
        <f t="shared" si="1"/>
        <v>0</v>
      </c>
    </row>
    <row r="33" spans="1:4" x14ac:dyDescent="0.35">
      <c r="A33" s="1"/>
      <c r="B33" s="1"/>
      <c r="D33">
        <f>SUMPRODUCT(D2:D20,I2:I20)/SUM(D2:D20)</f>
        <v>0.13442543965309564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63B3B-0D78-4F0B-91CE-3A0596B814DE}">
  <dimension ref="A1:I32"/>
  <sheetViews>
    <sheetView rightToLeft="1" topLeftCell="A7" workbookViewId="0">
      <selection activeCell="K40" sqref="K40"/>
    </sheetView>
  </sheetViews>
  <sheetFormatPr defaultRowHeight="14.15" x14ac:dyDescent="0.35"/>
  <cols>
    <col min="1" max="1" width="9.85546875" bestFit="1" customWidth="1"/>
    <col min="4" max="4" width="13.5" bestFit="1" customWidth="1"/>
    <col min="5" max="5" width="18.5" bestFit="1" customWidth="1"/>
    <col min="7" max="7" width="17.85546875" bestFit="1" customWidth="1"/>
  </cols>
  <sheetData>
    <row r="1" spans="1:9" x14ac:dyDescent="0.35">
      <c r="A1" t="s">
        <v>2</v>
      </c>
      <c r="B1" t="s">
        <v>10</v>
      </c>
      <c r="C1" t="s">
        <v>0</v>
      </c>
      <c r="D1" t="s">
        <v>1</v>
      </c>
      <c r="E1" t="s">
        <v>3</v>
      </c>
      <c r="F1" t="s">
        <v>7</v>
      </c>
      <c r="G1" t="s">
        <v>8</v>
      </c>
      <c r="H1" t="s">
        <v>15</v>
      </c>
      <c r="I1" t="s">
        <v>16</v>
      </c>
    </row>
    <row r="2" spans="1:9" ht="14.6" thickBot="1" x14ac:dyDescent="0.4">
      <c r="A2" s="1">
        <f t="shared" ref="A2:A31" si="0">DATE(2024,9,1) + ROW(A1) - 1</f>
        <v>45536</v>
      </c>
      <c r="B2" s="1" t="str">
        <f>TEXT(A2,"dddd")</f>
        <v>יום ראשון</v>
      </c>
      <c r="C2">
        <v>411</v>
      </c>
      <c r="D2">
        <v>597</v>
      </c>
      <c r="E2" s="11"/>
      <c r="F2">
        <v>13</v>
      </c>
      <c r="G2">
        <v>515</v>
      </c>
      <c r="H2">
        <f t="shared" ref="H2:H31" si="1">D2-G2</f>
        <v>82</v>
      </c>
      <c r="I2">
        <f t="shared" ref="I2:I31" si="2">H2/D2</f>
        <v>0.13735343383584589</v>
      </c>
    </row>
    <row r="3" spans="1:9" ht="14.6" thickBot="1" x14ac:dyDescent="0.4">
      <c r="A3" s="1">
        <f t="shared" si="0"/>
        <v>45537</v>
      </c>
      <c r="B3" s="1" t="str">
        <f t="shared" ref="B3:B31" si="3">TEXT(A3,"dddd")</f>
        <v>יום שני</v>
      </c>
      <c r="C3">
        <v>187</v>
      </c>
      <c r="D3">
        <v>369</v>
      </c>
      <c r="E3" s="11"/>
      <c r="F3">
        <v>12</v>
      </c>
      <c r="G3">
        <v>324</v>
      </c>
      <c r="H3">
        <f t="shared" si="1"/>
        <v>45</v>
      </c>
      <c r="I3">
        <f t="shared" si="2"/>
        <v>0.12195121951219512</v>
      </c>
    </row>
    <row r="4" spans="1:9" ht="14.6" thickBot="1" x14ac:dyDescent="0.4">
      <c r="A4" s="1">
        <f t="shared" si="0"/>
        <v>45538</v>
      </c>
      <c r="B4" s="1" t="str">
        <f t="shared" si="3"/>
        <v>יום שלישי</v>
      </c>
      <c r="C4">
        <v>183</v>
      </c>
      <c r="D4">
        <v>305</v>
      </c>
      <c r="E4" s="11"/>
      <c r="F4">
        <v>11</v>
      </c>
      <c r="G4">
        <v>269</v>
      </c>
      <c r="H4">
        <f t="shared" si="1"/>
        <v>36</v>
      </c>
      <c r="I4">
        <f t="shared" si="2"/>
        <v>0.11803278688524591</v>
      </c>
    </row>
    <row r="5" spans="1:9" ht="14.6" thickBot="1" x14ac:dyDescent="0.4">
      <c r="A5" s="1">
        <f t="shared" si="0"/>
        <v>45539</v>
      </c>
      <c r="B5" s="1" t="str">
        <f t="shared" si="3"/>
        <v>יום רביעי</v>
      </c>
      <c r="C5">
        <v>181</v>
      </c>
      <c r="D5">
        <v>299</v>
      </c>
      <c r="E5" s="11"/>
      <c r="F5">
        <v>15</v>
      </c>
      <c r="G5">
        <v>256</v>
      </c>
      <c r="H5">
        <f t="shared" si="1"/>
        <v>43</v>
      </c>
      <c r="I5">
        <f t="shared" si="2"/>
        <v>0.14381270903010032</v>
      </c>
    </row>
    <row r="6" spans="1:9" ht="14.6" thickBot="1" x14ac:dyDescent="0.4">
      <c r="A6" s="10">
        <f t="shared" si="0"/>
        <v>45540</v>
      </c>
      <c r="B6" s="10" t="str">
        <f t="shared" si="3"/>
        <v>יום חמישי</v>
      </c>
      <c r="C6" s="11">
        <v>259</v>
      </c>
      <c r="D6" s="11">
        <v>562</v>
      </c>
      <c r="E6" s="11" t="s">
        <v>61</v>
      </c>
      <c r="F6" s="11">
        <v>17</v>
      </c>
      <c r="G6" s="11">
        <v>489</v>
      </c>
      <c r="H6" s="11">
        <f t="shared" si="1"/>
        <v>73</v>
      </c>
      <c r="I6" s="11">
        <f t="shared" si="2"/>
        <v>0.1298932384341637</v>
      </c>
    </row>
    <row r="7" spans="1:9" ht="14.6" thickBot="1" x14ac:dyDescent="0.4">
      <c r="A7" s="1">
        <f t="shared" si="0"/>
        <v>45541</v>
      </c>
      <c r="B7" s="1" t="str">
        <f t="shared" si="3"/>
        <v>יום שישי</v>
      </c>
      <c r="C7">
        <v>0</v>
      </c>
      <c r="D7">
        <v>0</v>
      </c>
      <c r="E7" t="s">
        <v>5</v>
      </c>
      <c r="H7" s="11">
        <f t="shared" si="1"/>
        <v>0</v>
      </c>
      <c r="I7" s="11">
        <v>0</v>
      </c>
    </row>
    <row r="8" spans="1:9" ht="14.6" thickBot="1" x14ac:dyDescent="0.4">
      <c r="A8" s="1">
        <f t="shared" si="0"/>
        <v>45542</v>
      </c>
      <c r="B8" s="1" t="str">
        <f t="shared" si="3"/>
        <v>שבת</v>
      </c>
      <c r="C8">
        <v>0</v>
      </c>
      <c r="D8">
        <v>0</v>
      </c>
      <c r="E8" t="s">
        <v>5</v>
      </c>
      <c r="H8" s="11">
        <f t="shared" si="1"/>
        <v>0</v>
      </c>
      <c r="I8" s="11">
        <v>0</v>
      </c>
    </row>
    <row r="9" spans="1:9" ht="14.6" thickBot="1" x14ac:dyDescent="0.4">
      <c r="A9" s="1">
        <f t="shared" si="0"/>
        <v>45543</v>
      </c>
      <c r="B9" s="1" t="str">
        <f t="shared" si="3"/>
        <v>יום ראשון</v>
      </c>
      <c r="C9">
        <v>321</v>
      </c>
      <c r="D9">
        <v>508</v>
      </c>
      <c r="E9" t="s">
        <v>11</v>
      </c>
      <c r="F9">
        <v>16</v>
      </c>
      <c r="G9">
        <v>454</v>
      </c>
      <c r="H9" s="11">
        <f t="shared" si="1"/>
        <v>54</v>
      </c>
      <c r="I9" s="11">
        <f t="shared" si="2"/>
        <v>0.1062992125984252</v>
      </c>
    </row>
    <row r="10" spans="1:9" ht="14.6" thickBot="1" x14ac:dyDescent="0.4">
      <c r="A10" s="1">
        <f t="shared" si="0"/>
        <v>45544</v>
      </c>
      <c r="B10" s="1" t="str">
        <f t="shared" si="3"/>
        <v>יום שני</v>
      </c>
      <c r="C10">
        <v>245</v>
      </c>
      <c r="D10">
        <v>370</v>
      </c>
      <c r="E10" t="s">
        <v>4</v>
      </c>
      <c r="F10">
        <v>14</v>
      </c>
      <c r="G10">
        <v>324</v>
      </c>
      <c r="H10" s="11">
        <f t="shared" si="1"/>
        <v>46</v>
      </c>
      <c r="I10" s="11">
        <f t="shared" si="2"/>
        <v>0.12432432432432433</v>
      </c>
    </row>
    <row r="11" spans="1:9" ht="14.6" thickBot="1" x14ac:dyDescent="0.4">
      <c r="A11" s="1">
        <f t="shared" si="0"/>
        <v>45545</v>
      </c>
      <c r="B11" s="1" t="str">
        <f t="shared" si="3"/>
        <v>יום שלישי</v>
      </c>
      <c r="C11">
        <v>235</v>
      </c>
      <c r="D11">
        <v>353</v>
      </c>
      <c r="E11" t="s">
        <v>4</v>
      </c>
      <c r="F11">
        <v>11</v>
      </c>
      <c r="G11">
        <v>309</v>
      </c>
      <c r="H11" s="11">
        <f t="shared" si="1"/>
        <v>44</v>
      </c>
      <c r="I11" s="11">
        <f t="shared" si="2"/>
        <v>0.12464589235127478</v>
      </c>
    </row>
    <row r="12" spans="1:9" ht="14.6" thickBot="1" x14ac:dyDescent="0.4">
      <c r="A12" s="1">
        <f t="shared" si="0"/>
        <v>45546</v>
      </c>
      <c r="B12" s="1" t="str">
        <f t="shared" si="3"/>
        <v>יום רביעי</v>
      </c>
      <c r="C12">
        <v>241</v>
      </c>
      <c r="D12">
        <v>279</v>
      </c>
      <c r="E12" t="s">
        <v>4</v>
      </c>
      <c r="F12">
        <v>12</v>
      </c>
      <c r="G12">
        <v>232</v>
      </c>
      <c r="H12" s="11">
        <f t="shared" si="1"/>
        <v>47</v>
      </c>
      <c r="I12" s="11">
        <f t="shared" si="2"/>
        <v>0.16845878136200718</v>
      </c>
    </row>
    <row r="13" spans="1:9" ht="14.6" thickBot="1" x14ac:dyDescent="0.4">
      <c r="A13" s="1">
        <f t="shared" si="0"/>
        <v>45547</v>
      </c>
      <c r="B13" s="1" t="str">
        <f t="shared" si="3"/>
        <v>יום חמישי</v>
      </c>
      <c r="C13">
        <v>356</v>
      </c>
      <c r="D13">
        <v>270</v>
      </c>
      <c r="E13" t="s">
        <v>4</v>
      </c>
      <c r="F13">
        <v>9</v>
      </c>
      <c r="G13">
        <v>240</v>
      </c>
      <c r="H13" s="11">
        <f t="shared" si="1"/>
        <v>30</v>
      </c>
      <c r="I13" s="11">
        <f t="shared" si="2"/>
        <v>0.1111111111111111</v>
      </c>
    </row>
    <row r="14" spans="1:9" ht="14.6" thickBot="1" x14ac:dyDescent="0.4">
      <c r="A14" s="1">
        <f t="shared" si="0"/>
        <v>45548</v>
      </c>
      <c r="B14" s="1" t="str">
        <f t="shared" si="3"/>
        <v>יום שישי</v>
      </c>
      <c r="C14">
        <v>0</v>
      </c>
      <c r="D14">
        <v>0</v>
      </c>
      <c r="E14" t="s">
        <v>5</v>
      </c>
      <c r="H14" s="11">
        <f t="shared" si="1"/>
        <v>0</v>
      </c>
      <c r="I14" s="11">
        <v>0</v>
      </c>
    </row>
    <row r="15" spans="1:9" ht="14.6" thickBot="1" x14ac:dyDescent="0.4">
      <c r="A15" s="1">
        <f t="shared" si="0"/>
        <v>45549</v>
      </c>
      <c r="B15" s="1" t="str">
        <f t="shared" si="3"/>
        <v>שבת</v>
      </c>
      <c r="C15">
        <v>0</v>
      </c>
      <c r="D15">
        <v>0</v>
      </c>
      <c r="E15" t="s">
        <v>5</v>
      </c>
      <c r="H15" s="11">
        <f t="shared" si="1"/>
        <v>0</v>
      </c>
      <c r="I15" s="11">
        <v>0</v>
      </c>
    </row>
    <row r="16" spans="1:9" ht="14.6" thickBot="1" x14ac:dyDescent="0.4">
      <c r="A16" s="1">
        <f t="shared" si="0"/>
        <v>45550</v>
      </c>
      <c r="B16" s="1" t="str">
        <f t="shared" si="3"/>
        <v>יום ראשון</v>
      </c>
      <c r="C16">
        <v>498</v>
      </c>
      <c r="D16">
        <v>376</v>
      </c>
      <c r="F16">
        <v>12</v>
      </c>
      <c r="G16">
        <v>311</v>
      </c>
      <c r="H16" s="11">
        <f t="shared" si="1"/>
        <v>65</v>
      </c>
      <c r="I16" s="11">
        <f t="shared" si="2"/>
        <v>0.17287234042553193</v>
      </c>
    </row>
    <row r="17" spans="1:9" ht="14.6" thickBot="1" x14ac:dyDescent="0.4">
      <c r="A17" s="1">
        <f t="shared" si="0"/>
        <v>45551</v>
      </c>
      <c r="B17" s="1" t="str">
        <f t="shared" si="3"/>
        <v>יום שני</v>
      </c>
      <c r="C17">
        <v>312</v>
      </c>
      <c r="D17">
        <v>347</v>
      </c>
      <c r="F17">
        <v>9</v>
      </c>
      <c r="G17">
        <v>287</v>
      </c>
      <c r="H17" s="11">
        <f t="shared" si="1"/>
        <v>60</v>
      </c>
      <c r="I17" s="11">
        <f t="shared" si="2"/>
        <v>0.1729106628242075</v>
      </c>
    </row>
    <row r="18" spans="1:9" ht="14.6" thickBot="1" x14ac:dyDescent="0.4">
      <c r="A18" s="1">
        <f t="shared" si="0"/>
        <v>45552</v>
      </c>
      <c r="B18" s="1" t="str">
        <f t="shared" si="3"/>
        <v>יום שלישי</v>
      </c>
      <c r="C18">
        <v>249</v>
      </c>
      <c r="D18">
        <v>289</v>
      </c>
      <c r="F18">
        <v>12</v>
      </c>
      <c r="G18">
        <v>259</v>
      </c>
      <c r="H18" s="11">
        <f t="shared" si="1"/>
        <v>30</v>
      </c>
      <c r="I18" s="11">
        <f t="shared" si="2"/>
        <v>0.10380622837370242</v>
      </c>
    </row>
    <row r="19" spans="1:9" ht="14.6" thickBot="1" x14ac:dyDescent="0.4">
      <c r="A19" s="1">
        <f t="shared" si="0"/>
        <v>45553</v>
      </c>
      <c r="B19" s="1" t="str">
        <f t="shared" si="3"/>
        <v>יום רביעי</v>
      </c>
      <c r="C19">
        <v>228</v>
      </c>
      <c r="D19">
        <v>257</v>
      </c>
      <c r="F19">
        <v>11</v>
      </c>
      <c r="G19">
        <v>221</v>
      </c>
      <c r="H19" s="11">
        <f t="shared" si="1"/>
        <v>36</v>
      </c>
      <c r="I19" s="11">
        <f t="shared" si="2"/>
        <v>0.14007782101167315</v>
      </c>
    </row>
    <row r="20" spans="1:9" ht="14.6" thickBot="1" x14ac:dyDescent="0.4">
      <c r="A20" s="1">
        <f t="shared" si="0"/>
        <v>45554</v>
      </c>
      <c r="B20" s="1" t="str">
        <f t="shared" si="3"/>
        <v>יום חמישי</v>
      </c>
      <c r="C20">
        <v>252</v>
      </c>
      <c r="D20">
        <v>266</v>
      </c>
      <c r="F20">
        <v>11</v>
      </c>
      <c r="G20">
        <v>239</v>
      </c>
      <c r="H20" s="11">
        <f t="shared" si="1"/>
        <v>27</v>
      </c>
      <c r="I20" s="11">
        <f t="shared" si="2"/>
        <v>0.10150375939849623</v>
      </c>
    </row>
    <row r="21" spans="1:9" ht="14.6" thickBot="1" x14ac:dyDescent="0.4">
      <c r="A21" s="1">
        <f t="shared" si="0"/>
        <v>45555</v>
      </c>
      <c r="B21" s="1" t="str">
        <f t="shared" si="3"/>
        <v>יום שישי</v>
      </c>
      <c r="C21">
        <v>0</v>
      </c>
      <c r="D21">
        <v>0</v>
      </c>
      <c r="E21" t="s">
        <v>5</v>
      </c>
      <c r="H21" s="11">
        <f t="shared" si="1"/>
        <v>0</v>
      </c>
      <c r="I21" s="11">
        <v>0</v>
      </c>
    </row>
    <row r="22" spans="1:9" ht="14.6" thickBot="1" x14ac:dyDescent="0.4">
      <c r="A22" s="1">
        <f t="shared" si="0"/>
        <v>45556</v>
      </c>
      <c r="B22" s="1" t="str">
        <f t="shared" si="3"/>
        <v>שבת</v>
      </c>
      <c r="C22">
        <v>0</v>
      </c>
      <c r="D22">
        <v>0</v>
      </c>
      <c r="E22" t="s">
        <v>5</v>
      </c>
      <c r="H22" s="11">
        <f t="shared" si="1"/>
        <v>0</v>
      </c>
      <c r="I22" s="11">
        <v>0</v>
      </c>
    </row>
    <row r="23" spans="1:9" ht="14.6" thickBot="1" x14ac:dyDescent="0.4">
      <c r="A23" s="1">
        <f t="shared" si="0"/>
        <v>45557</v>
      </c>
      <c r="B23" s="1" t="str">
        <f t="shared" si="3"/>
        <v>יום ראשון</v>
      </c>
      <c r="C23">
        <v>309</v>
      </c>
      <c r="D23">
        <v>371</v>
      </c>
      <c r="F23">
        <v>13</v>
      </c>
      <c r="G23">
        <v>326</v>
      </c>
      <c r="H23" s="11">
        <f t="shared" si="1"/>
        <v>45</v>
      </c>
      <c r="I23" s="11">
        <f t="shared" si="2"/>
        <v>0.12129380053908356</v>
      </c>
    </row>
    <row r="24" spans="1:9" ht="14.6" thickBot="1" x14ac:dyDescent="0.4">
      <c r="A24" s="1">
        <f t="shared" si="0"/>
        <v>45558</v>
      </c>
      <c r="B24" s="1" t="str">
        <f t="shared" si="3"/>
        <v>יום שני</v>
      </c>
      <c r="C24">
        <v>230</v>
      </c>
      <c r="D24">
        <v>308</v>
      </c>
      <c r="F24">
        <v>12</v>
      </c>
      <c r="G24">
        <v>275</v>
      </c>
      <c r="H24" s="11">
        <f t="shared" si="1"/>
        <v>33</v>
      </c>
      <c r="I24" s="11">
        <f t="shared" si="2"/>
        <v>0.10714285714285714</v>
      </c>
    </row>
    <row r="25" spans="1:9" ht="14.6" thickBot="1" x14ac:dyDescent="0.4">
      <c r="A25" s="1">
        <f t="shared" si="0"/>
        <v>45559</v>
      </c>
      <c r="B25" s="1" t="str">
        <f t="shared" si="3"/>
        <v>יום שלישי</v>
      </c>
      <c r="C25">
        <v>224</v>
      </c>
      <c r="D25">
        <v>349</v>
      </c>
      <c r="F25">
        <v>12</v>
      </c>
      <c r="G25">
        <v>309</v>
      </c>
      <c r="H25" s="11">
        <f t="shared" si="1"/>
        <v>40</v>
      </c>
      <c r="I25" s="11">
        <f t="shared" si="2"/>
        <v>0.11461318051575932</v>
      </c>
    </row>
    <row r="26" spans="1:9" ht="14.6" thickBot="1" x14ac:dyDescent="0.4">
      <c r="A26" s="1">
        <f t="shared" si="0"/>
        <v>45560</v>
      </c>
      <c r="B26" s="1" t="str">
        <f t="shared" si="3"/>
        <v>יום רביעי</v>
      </c>
      <c r="C26">
        <v>353</v>
      </c>
      <c r="D26">
        <v>431</v>
      </c>
      <c r="F26">
        <v>13</v>
      </c>
      <c r="G26">
        <v>393</v>
      </c>
      <c r="H26" s="11">
        <f t="shared" si="1"/>
        <v>38</v>
      </c>
      <c r="I26" s="11">
        <f t="shared" si="2"/>
        <v>8.8167053364269138E-2</v>
      </c>
    </row>
    <row r="27" spans="1:9" ht="14.6" thickBot="1" x14ac:dyDescent="0.4">
      <c r="A27" s="1">
        <f t="shared" si="0"/>
        <v>45561</v>
      </c>
      <c r="B27" s="1" t="str">
        <f t="shared" si="3"/>
        <v>יום חמישי</v>
      </c>
      <c r="C27">
        <v>297</v>
      </c>
      <c r="D27">
        <v>391</v>
      </c>
      <c r="F27">
        <v>12</v>
      </c>
      <c r="G27">
        <v>339</v>
      </c>
      <c r="H27" s="11">
        <f t="shared" si="1"/>
        <v>52</v>
      </c>
      <c r="I27" s="11">
        <f t="shared" si="2"/>
        <v>0.13299232736572891</v>
      </c>
    </row>
    <row r="28" spans="1:9" ht="14.6" thickBot="1" x14ac:dyDescent="0.4">
      <c r="A28" s="1">
        <f t="shared" si="0"/>
        <v>45562</v>
      </c>
      <c r="B28" s="1" t="str">
        <f t="shared" si="3"/>
        <v>יום שישי</v>
      </c>
      <c r="C28">
        <v>0</v>
      </c>
      <c r="H28" s="11">
        <f t="shared" si="1"/>
        <v>0</v>
      </c>
      <c r="I28" s="11">
        <v>0</v>
      </c>
    </row>
    <row r="29" spans="1:9" ht="14.6" thickBot="1" x14ac:dyDescent="0.4">
      <c r="A29" s="1">
        <f t="shared" si="0"/>
        <v>45563</v>
      </c>
      <c r="B29" s="1" t="str">
        <f t="shared" si="3"/>
        <v>שבת</v>
      </c>
      <c r="C29">
        <v>0</v>
      </c>
      <c r="H29" s="11">
        <f t="shared" si="1"/>
        <v>0</v>
      </c>
      <c r="I29" s="11">
        <v>0</v>
      </c>
    </row>
    <row r="30" spans="1:9" ht="14.6" thickBot="1" x14ac:dyDescent="0.4">
      <c r="A30" s="1">
        <f t="shared" si="0"/>
        <v>45564</v>
      </c>
      <c r="B30" s="1" t="str">
        <f t="shared" si="3"/>
        <v>יום ראשון</v>
      </c>
      <c r="C30">
        <v>338</v>
      </c>
      <c r="D30">
        <v>561</v>
      </c>
      <c r="E30" t="s">
        <v>6</v>
      </c>
      <c r="F30">
        <v>15</v>
      </c>
      <c r="G30">
        <v>482</v>
      </c>
      <c r="H30" s="11">
        <f t="shared" si="1"/>
        <v>79</v>
      </c>
      <c r="I30" s="11">
        <f t="shared" si="2"/>
        <v>0.1408199643493761</v>
      </c>
    </row>
    <row r="31" spans="1:9" ht="14.6" thickBot="1" x14ac:dyDescent="0.4">
      <c r="A31" s="1">
        <f t="shared" si="0"/>
        <v>45565</v>
      </c>
      <c r="B31" s="1" t="str">
        <f t="shared" si="3"/>
        <v>יום שני</v>
      </c>
      <c r="C31">
        <v>324</v>
      </c>
      <c r="D31">
        <v>535</v>
      </c>
      <c r="E31" t="s">
        <v>6</v>
      </c>
      <c r="F31">
        <v>14</v>
      </c>
      <c r="G31">
        <v>443</v>
      </c>
      <c r="H31" s="11">
        <f t="shared" si="1"/>
        <v>92</v>
      </c>
      <c r="I31" s="11">
        <f t="shared" si="2"/>
        <v>0.17196261682242991</v>
      </c>
    </row>
    <row r="32" spans="1:9" x14ac:dyDescent="0.35">
      <c r="A32" s="1"/>
      <c r="B32" s="1"/>
      <c r="D32">
        <f>SUMPRODUCT(D2:D23,I2:I23)/SUM(D2:D23)</f>
        <v>0.13114472327260226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EE2D5-2FD8-4568-A940-DED550DAD980}">
  <sheetPr>
    <tabColor theme="2"/>
  </sheetPr>
  <dimension ref="A1:R33"/>
  <sheetViews>
    <sheetView rightToLeft="1" workbookViewId="0">
      <selection activeCell="C25" sqref="C25"/>
    </sheetView>
  </sheetViews>
  <sheetFormatPr defaultRowHeight="14.15" x14ac:dyDescent="0.35"/>
  <cols>
    <col min="1" max="1" width="9.85546875" bestFit="1" customWidth="1"/>
    <col min="7" max="7" width="17.85546875" bestFit="1" customWidth="1"/>
    <col min="8" max="8" width="11.7109375" bestFit="1" customWidth="1"/>
    <col min="9" max="9" width="12.5" bestFit="1" customWidth="1"/>
    <col min="12" max="12" width="12.85546875" bestFit="1" customWidth="1"/>
    <col min="13" max="13" width="12" bestFit="1" customWidth="1"/>
    <col min="14" max="14" width="14" bestFit="1" customWidth="1"/>
    <col min="15" max="15" width="15.2109375" bestFit="1" customWidth="1"/>
    <col min="16" max="16" width="16" bestFit="1" customWidth="1"/>
    <col min="17" max="17" width="14.5" bestFit="1" customWidth="1"/>
    <col min="18" max="18" width="15.35546875" bestFit="1" customWidth="1"/>
  </cols>
  <sheetData>
    <row r="1" spans="1:18" x14ac:dyDescent="0.35">
      <c r="A1" t="s">
        <v>2</v>
      </c>
      <c r="B1" t="s">
        <v>10</v>
      </c>
      <c r="C1" t="s">
        <v>0</v>
      </c>
      <c r="D1" t="s">
        <v>1</v>
      </c>
      <c r="E1" t="s">
        <v>3</v>
      </c>
      <c r="F1" t="s">
        <v>7</v>
      </c>
      <c r="G1" t="s">
        <v>8</v>
      </c>
      <c r="H1" t="s">
        <v>13</v>
      </c>
      <c r="I1" t="s">
        <v>14</v>
      </c>
      <c r="J1" t="s">
        <v>15</v>
      </c>
      <c r="K1" t="s">
        <v>16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</row>
    <row r="2" spans="1:18" x14ac:dyDescent="0.35">
      <c r="A2" s="1">
        <f t="shared" ref="A2:A32" si="0">DATE(2025,8,1) + ROW(A1) - 1</f>
        <v>45870</v>
      </c>
      <c r="B2" s="1" t="str">
        <f>TEXT(A2,"dddd")</f>
        <v>יום שישי</v>
      </c>
      <c r="C2">
        <v>0</v>
      </c>
      <c r="E2" t="s">
        <v>5</v>
      </c>
      <c r="H2" s="8">
        <v>0</v>
      </c>
      <c r="I2" s="8">
        <v>0</v>
      </c>
      <c r="J2">
        <f t="shared" ref="J2:J25" si="1">D2-G2</f>
        <v>0</v>
      </c>
      <c r="K2">
        <v>0</v>
      </c>
    </row>
    <row r="3" spans="1:18" x14ac:dyDescent="0.35">
      <c r="A3" s="1">
        <f t="shared" si="0"/>
        <v>45871</v>
      </c>
      <c r="B3" s="1" t="str">
        <f t="shared" ref="B3:B31" si="2">TEXT(A3,"dddd")</f>
        <v>שבת</v>
      </c>
      <c r="C3">
        <v>0</v>
      </c>
      <c r="E3" t="s">
        <v>5</v>
      </c>
      <c r="H3" s="8">
        <v>0</v>
      </c>
      <c r="I3" s="8">
        <v>0</v>
      </c>
      <c r="J3">
        <f t="shared" si="1"/>
        <v>0</v>
      </c>
      <c r="K3">
        <v>0</v>
      </c>
    </row>
    <row r="4" spans="1:18" x14ac:dyDescent="0.35">
      <c r="A4" s="1">
        <f t="shared" si="0"/>
        <v>45872</v>
      </c>
      <c r="B4" s="1" t="str">
        <f t="shared" si="2"/>
        <v>יום ראשון</v>
      </c>
      <c r="C4">
        <v>298</v>
      </c>
      <c r="D4">
        <v>632</v>
      </c>
      <c r="E4" t="s">
        <v>12</v>
      </c>
      <c r="F4">
        <v>5</v>
      </c>
      <c r="G4">
        <v>416</v>
      </c>
      <c r="H4" s="8">
        <v>0</v>
      </c>
      <c r="I4" s="8">
        <v>0</v>
      </c>
      <c r="J4">
        <f t="shared" si="1"/>
        <v>216</v>
      </c>
      <c r="K4" s="8">
        <f t="shared" ref="K4:K25" si="3">J4/D4</f>
        <v>0.34177215189873417</v>
      </c>
    </row>
    <row r="5" spans="1:18" x14ac:dyDescent="0.35">
      <c r="A5" s="1">
        <f t="shared" si="0"/>
        <v>45873</v>
      </c>
      <c r="B5" s="1" t="str">
        <f t="shared" si="2"/>
        <v>יום שני</v>
      </c>
      <c r="C5">
        <v>222</v>
      </c>
      <c r="D5">
        <v>295</v>
      </c>
      <c r="F5">
        <v>7</v>
      </c>
      <c r="G5">
        <v>251</v>
      </c>
      <c r="H5" s="8">
        <f>(C5/'אוגוסט 24'!C5) - 1</f>
        <v>9.0909090909090384E-3</v>
      </c>
      <c r="I5" s="8">
        <f>(G5/'אוגוסט 24'!G5) - 1</f>
        <v>9.606986899563319E-2</v>
      </c>
      <c r="J5">
        <f t="shared" si="1"/>
        <v>44</v>
      </c>
      <c r="K5" s="8">
        <f t="shared" si="3"/>
        <v>0.14915254237288136</v>
      </c>
    </row>
    <row r="6" spans="1:18" x14ac:dyDescent="0.35">
      <c r="A6" s="1">
        <f t="shared" si="0"/>
        <v>45874</v>
      </c>
      <c r="B6" s="1" t="str">
        <f t="shared" si="2"/>
        <v>יום שלישי</v>
      </c>
      <c r="C6">
        <v>205</v>
      </c>
      <c r="D6">
        <v>228</v>
      </c>
      <c r="F6">
        <v>10</v>
      </c>
      <c r="G6">
        <v>194</v>
      </c>
      <c r="H6" s="8">
        <f>(C6/'אוגוסט 24'!C6) - 1</f>
        <v>2.4999999999999911E-2</v>
      </c>
      <c r="I6" s="8">
        <f>(G6/'אוגוסט 24'!G6) - 1</f>
        <v>-9.3457943925233655E-2</v>
      </c>
      <c r="J6">
        <f t="shared" si="1"/>
        <v>34</v>
      </c>
      <c r="K6" s="8">
        <f t="shared" si="3"/>
        <v>0.14912280701754385</v>
      </c>
    </row>
    <row r="7" spans="1:18" x14ac:dyDescent="0.35">
      <c r="A7" s="1">
        <f t="shared" si="0"/>
        <v>45875</v>
      </c>
      <c r="B7" s="1" t="str">
        <f t="shared" si="2"/>
        <v>יום רביעי</v>
      </c>
      <c r="C7">
        <v>206</v>
      </c>
      <c r="D7">
        <v>187</v>
      </c>
      <c r="F7">
        <v>10</v>
      </c>
      <c r="G7">
        <v>157</v>
      </c>
      <c r="H7" s="8">
        <f>(C7/'אוגוסט 24'!C7) - 1</f>
        <v>0.22619047619047628</v>
      </c>
      <c r="I7" s="8">
        <f>(G7/'אוגוסט 24'!G7) - 1</f>
        <v>-0.1179775280898876</v>
      </c>
      <c r="J7">
        <f t="shared" si="1"/>
        <v>30</v>
      </c>
      <c r="K7" s="8">
        <f t="shared" si="3"/>
        <v>0.16042780748663102</v>
      </c>
    </row>
    <row r="8" spans="1:18" x14ac:dyDescent="0.35">
      <c r="A8" s="1">
        <f t="shared" si="0"/>
        <v>45876</v>
      </c>
      <c r="B8" s="1" t="str">
        <f t="shared" si="2"/>
        <v>יום חמישי</v>
      </c>
      <c r="C8">
        <v>198</v>
      </c>
      <c r="D8">
        <v>283</v>
      </c>
      <c r="F8">
        <v>12</v>
      </c>
      <c r="G8">
        <v>241</v>
      </c>
      <c r="H8" s="8">
        <f>(C8/'אוגוסט 24'!C8) - 1</f>
        <v>-0.33557046979865768</v>
      </c>
      <c r="I8" s="8">
        <f>(G8/'אוגוסט 24'!G8) - 1</f>
        <v>-0.52277227722772279</v>
      </c>
      <c r="J8">
        <f t="shared" si="1"/>
        <v>42</v>
      </c>
      <c r="K8" s="8">
        <f t="shared" si="3"/>
        <v>0.14840989399293286</v>
      </c>
    </row>
    <row r="9" spans="1:18" x14ac:dyDescent="0.35">
      <c r="A9" s="1">
        <f t="shared" si="0"/>
        <v>45877</v>
      </c>
      <c r="B9" s="1" t="str">
        <f t="shared" si="2"/>
        <v>יום שישי</v>
      </c>
      <c r="C9">
        <v>0</v>
      </c>
      <c r="D9">
        <v>0</v>
      </c>
      <c r="E9" t="s">
        <v>5</v>
      </c>
      <c r="G9">
        <v>0</v>
      </c>
      <c r="H9" s="8">
        <v>0</v>
      </c>
      <c r="I9" s="8">
        <v>0</v>
      </c>
      <c r="J9">
        <f t="shared" si="1"/>
        <v>0</v>
      </c>
      <c r="K9" s="8">
        <v>0</v>
      </c>
    </row>
    <row r="10" spans="1:18" x14ac:dyDescent="0.35">
      <c r="A10" s="1">
        <f t="shared" si="0"/>
        <v>45878</v>
      </c>
      <c r="B10" s="1" t="str">
        <f t="shared" si="2"/>
        <v>שבת</v>
      </c>
      <c r="C10">
        <v>0</v>
      </c>
      <c r="D10">
        <v>0</v>
      </c>
      <c r="E10" t="s">
        <v>5</v>
      </c>
      <c r="G10">
        <v>0</v>
      </c>
      <c r="H10" s="8">
        <v>0</v>
      </c>
      <c r="I10" s="8">
        <v>0</v>
      </c>
      <c r="J10">
        <f t="shared" si="1"/>
        <v>0</v>
      </c>
      <c r="K10" s="8">
        <v>0</v>
      </c>
    </row>
    <row r="11" spans="1:18" x14ac:dyDescent="0.35">
      <c r="A11" s="1">
        <f t="shared" si="0"/>
        <v>45879</v>
      </c>
      <c r="B11" s="1" t="str">
        <f t="shared" si="2"/>
        <v>יום ראשון</v>
      </c>
      <c r="C11">
        <v>546</v>
      </c>
      <c r="D11">
        <v>738</v>
      </c>
      <c r="E11" t="s">
        <v>11</v>
      </c>
      <c r="F11">
        <v>11</v>
      </c>
      <c r="G11">
        <v>559</v>
      </c>
      <c r="H11" s="8">
        <v>0</v>
      </c>
      <c r="I11" s="8">
        <v>0</v>
      </c>
      <c r="J11">
        <f t="shared" si="1"/>
        <v>179</v>
      </c>
      <c r="K11" s="8">
        <f t="shared" si="3"/>
        <v>0.24254742547425473</v>
      </c>
    </row>
    <row r="12" spans="1:18" x14ac:dyDescent="0.35">
      <c r="A12" s="1">
        <f t="shared" si="0"/>
        <v>45880</v>
      </c>
      <c r="B12" s="1" t="str">
        <f t="shared" si="2"/>
        <v>יום שני</v>
      </c>
      <c r="C12">
        <v>334</v>
      </c>
      <c r="D12">
        <v>340</v>
      </c>
      <c r="E12" t="s">
        <v>4</v>
      </c>
      <c r="F12">
        <v>10</v>
      </c>
      <c r="G12">
        <v>289</v>
      </c>
      <c r="H12" s="8">
        <f>(C12/'אוגוסט 24'!C12) - 1</f>
        <v>-2.0527859237536639E-2</v>
      </c>
      <c r="I12" s="8">
        <f>(G12/'אוגוסט 24'!G12) - 1</f>
        <v>-3.3444816053511683E-2</v>
      </c>
      <c r="J12">
        <f t="shared" si="1"/>
        <v>51</v>
      </c>
      <c r="K12" s="8">
        <f t="shared" si="3"/>
        <v>0.15</v>
      </c>
    </row>
    <row r="13" spans="1:18" x14ac:dyDescent="0.35">
      <c r="A13" s="1">
        <f t="shared" si="0"/>
        <v>45881</v>
      </c>
      <c r="B13" s="1" t="str">
        <f t="shared" si="2"/>
        <v>יום שלישי</v>
      </c>
      <c r="C13">
        <v>264</v>
      </c>
      <c r="D13">
        <v>290</v>
      </c>
      <c r="E13" t="s">
        <v>4</v>
      </c>
      <c r="F13">
        <v>10</v>
      </c>
      <c r="G13">
        <v>248</v>
      </c>
      <c r="H13" s="8">
        <f>(C13/'אוגוסט 24'!C13) - 1</f>
        <v>-3.7735849056603765E-3</v>
      </c>
      <c r="I13" s="8">
        <f>(G13/'אוגוסט 24'!G13) - 1</f>
        <v>-0.35416666666666663</v>
      </c>
      <c r="J13">
        <f t="shared" si="1"/>
        <v>42</v>
      </c>
      <c r="K13" s="8">
        <f t="shared" si="3"/>
        <v>0.14482758620689656</v>
      </c>
    </row>
    <row r="14" spans="1:18" x14ac:dyDescent="0.35">
      <c r="A14" s="1">
        <f t="shared" si="0"/>
        <v>45882</v>
      </c>
      <c r="B14" s="1" t="str">
        <f t="shared" si="2"/>
        <v>יום רביעי</v>
      </c>
      <c r="C14">
        <v>277</v>
      </c>
      <c r="D14">
        <v>431</v>
      </c>
      <c r="E14" t="s">
        <v>4</v>
      </c>
      <c r="F14">
        <v>10</v>
      </c>
      <c r="G14">
        <v>370</v>
      </c>
      <c r="H14" s="8">
        <f>(C14/'אוגוסט 24'!C14) - 1</f>
        <v>0.29439252336448596</v>
      </c>
      <c r="I14" s="8">
        <f>(G14/'אוגוסט 24'!G14) - 1</f>
        <v>0.86868686868686873</v>
      </c>
      <c r="J14">
        <f t="shared" si="1"/>
        <v>61</v>
      </c>
      <c r="K14" s="8">
        <f t="shared" si="3"/>
        <v>0.14153132250580047</v>
      </c>
    </row>
    <row r="15" spans="1:18" x14ac:dyDescent="0.35">
      <c r="A15" s="1">
        <f t="shared" si="0"/>
        <v>45883</v>
      </c>
      <c r="B15" s="1" t="str">
        <f t="shared" si="2"/>
        <v>יום חמישי</v>
      </c>
      <c r="C15">
        <v>244</v>
      </c>
      <c r="D15">
        <v>248</v>
      </c>
      <c r="F15">
        <v>9</v>
      </c>
      <c r="G15">
        <v>209</v>
      </c>
      <c r="H15" s="8">
        <f>(C15/'אוגוסט 24'!C15) - 1</f>
        <v>-8.1300813008130524E-3</v>
      </c>
      <c r="I15" s="8">
        <f>(G15/'אוגוסט 24'!G15) - 1</f>
        <v>-6.6964285714285698E-2</v>
      </c>
      <c r="J15">
        <f t="shared" si="1"/>
        <v>39</v>
      </c>
      <c r="K15" s="8">
        <f t="shared" si="3"/>
        <v>0.15725806451612903</v>
      </c>
    </row>
    <row r="16" spans="1:18" x14ac:dyDescent="0.35">
      <c r="A16" s="1">
        <f t="shared" si="0"/>
        <v>45884</v>
      </c>
      <c r="B16" s="1" t="str">
        <f t="shared" si="2"/>
        <v>יום שישי</v>
      </c>
      <c r="C16">
        <v>0</v>
      </c>
      <c r="D16">
        <v>0</v>
      </c>
      <c r="E16" t="s">
        <v>5</v>
      </c>
      <c r="G16">
        <v>0</v>
      </c>
      <c r="H16" s="8">
        <v>0</v>
      </c>
      <c r="I16" s="8">
        <v>0</v>
      </c>
      <c r="J16">
        <f t="shared" si="1"/>
        <v>0</v>
      </c>
      <c r="K16" s="8">
        <v>0</v>
      </c>
    </row>
    <row r="17" spans="1:16" x14ac:dyDescent="0.35">
      <c r="A17" s="1">
        <f t="shared" si="0"/>
        <v>45885</v>
      </c>
      <c r="B17" s="1" t="str">
        <f t="shared" si="2"/>
        <v>שבת</v>
      </c>
      <c r="C17">
        <v>0</v>
      </c>
      <c r="D17">
        <v>0</v>
      </c>
      <c r="E17" t="s">
        <v>5</v>
      </c>
      <c r="G17">
        <v>0</v>
      </c>
      <c r="H17" s="8">
        <v>0</v>
      </c>
      <c r="I17" s="8">
        <v>0</v>
      </c>
      <c r="J17">
        <f t="shared" si="1"/>
        <v>0</v>
      </c>
      <c r="K17" s="8">
        <v>0</v>
      </c>
    </row>
    <row r="18" spans="1:16" x14ac:dyDescent="0.35">
      <c r="A18" s="1">
        <f t="shared" si="0"/>
        <v>45886</v>
      </c>
      <c r="B18" s="1" t="str">
        <f t="shared" si="2"/>
        <v>יום ראשון</v>
      </c>
      <c r="C18">
        <v>259</v>
      </c>
      <c r="D18">
        <v>275</v>
      </c>
      <c r="G18">
        <v>244</v>
      </c>
      <c r="H18" s="8">
        <f>(C18/'אוגוסט 24'!C19) - 1</f>
        <v>-0.32552083333333337</v>
      </c>
      <c r="I18" s="8">
        <f>(G18/'אוגוסט 24'!G19) - 1</f>
        <v>-0.17845117845117842</v>
      </c>
      <c r="J18">
        <f t="shared" si="1"/>
        <v>31</v>
      </c>
      <c r="K18" s="8">
        <f t="shared" si="3"/>
        <v>0.11272727272727273</v>
      </c>
    </row>
    <row r="19" spans="1:16" x14ac:dyDescent="0.35">
      <c r="A19" s="1">
        <f t="shared" si="0"/>
        <v>45887</v>
      </c>
      <c r="B19" s="1" t="str">
        <f t="shared" si="2"/>
        <v>יום שני</v>
      </c>
      <c r="C19">
        <v>428</v>
      </c>
      <c r="D19">
        <v>307</v>
      </c>
      <c r="G19">
        <v>272</v>
      </c>
      <c r="H19" s="8">
        <f>(C19/'אוגוסט 24'!C20) - 1</f>
        <v>0.38511326860841422</v>
      </c>
      <c r="I19" s="8">
        <f>(G19/'אוגוסט 24'!G20) - 1</f>
        <v>0.11475409836065564</v>
      </c>
      <c r="J19">
        <f t="shared" si="1"/>
        <v>35</v>
      </c>
      <c r="K19" s="8">
        <f t="shared" si="3"/>
        <v>0.11400651465798045</v>
      </c>
    </row>
    <row r="20" spans="1:16" x14ac:dyDescent="0.35">
      <c r="A20" s="1">
        <f t="shared" si="0"/>
        <v>45888</v>
      </c>
      <c r="B20" s="1" t="str">
        <f t="shared" si="2"/>
        <v>יום שלישי</v>
      </c>
      <c r="C20" s="20">
        <v>334</v>
      </c>
      <c r="D20" s="20">
        <v>290</v>
      </c>
      <c r="F20">
        <v>10</v>
      </c>
      <c r="G20">
        <v>242</v>
      </c>
      <c r="H20" s="8">
        <f>(C20/'אוגוסט 24'!C21) - 1</f>
        <v>0.18439716312056742</v>
      </c>
      <c r="I20" s="8">
        <f>(G20/'אוגוסט 24'!G21) - 1</f>
        <v>-0.14487632508833925</v>
      </c>
      <c r="J20">
        <f t="shared" si="1"/>
        <v>48</v>
      </c>
      <c r="K20" s="8">
        <f t="shared" si="3"/>
        <v>0.16551724137931034</v>
      </c>
      <c r="O20" s="15">
        <v>328.74815807099799</v>
      </c>
      <c r="P20" s="15">
        <v>340.22109584950732</v>
      </c>
    </row>
    <row r="21" spans="1:16" x14ac:dyDescent="0.35">
      <c r="A21" s="1">
        <f t="shared" si="0"/>
        <v>45889</v>
      </c>
      <c r="B21" s="1" t="str">
        <f t="shared" si="2"/>
        <v>יום רביעי</v>
      </c>
      <c r="C21" s="20">
        <v>239</v>
      </c>
      <c r="D21" s="20">
        <v>229</v>
      </c>
      <c r="F21">
        <v>9</v>
      </c>
      <c r="G21">
        <v>202</v>
      </c>
      <c r="H21" s="8">
        <f>(C21/'אוגוסט 24'!C22) - 1</f>
        <v>-0.29080118694362023</v>
      </c>
      <c r="I21" s="8">
        <f>(G21/'אוגוסט 24'!G22) - 1</f>
        <v>-0.24907063197026025</v>
      </c>
      <c r="J21">
        <f t="shared" si="1"/>
        <v>27</v>
      </c>
      <c r="K21" s="8">
        <f t="shared" si="3"/>
        <v>0.11790393013100436</v>
      </c>
      <c r="L21">
        <v>8</v>
      </c>
      <c r="M21" s="13">
        <f t="shared" ref="M21:M32" si="4">8*L21</f>
        <v>64</v>
      </c>
      <c r="N21" s="14">
        <f>(D21+C21)/8</f>
        <v>58.5</v>
      </c>
      <c r="O21">
        <v>393</v>
      </c>
      <c r="P21">
        <v>323</v>
      </c>
    </row>
    <row r="22" spans="1:16" x14ac:dyDescent="0.35">
      <c r="A22" s="1">
        <f t="shared" si="0"/>
        <v>45890</v>
      </c>
      <c r="B22" s="1" t="str">
        <f t="shared" si="2"/>
        <v>יום חמישי</v>
      </c>
      <c r="C22" s="20">
        <v>261</v>
      </c>
      <c r="D22" s="20">
        <v>272</v>
      </c>
      <c r="F22">
        <v>8</v>
      </c>
      <c r="G22">
        <v>234</v>
      </c>
      <c r="H22" s="8">
        <f>(C22/'אוגוסט 24'!C23) - 1</f>
        <v>-4.0441176470588203E-2</v>
      </c>
      <c r="I22" s="8">
        <f>(G22/'אוגוסט 24'!G23) - 1</f>
        <v>-0.38421052631578945</v>
      </c>
      <c r="J22">
        <f t="shared" si="1"/>
        <v>38</v>
      </c>
      <c r="K22" s="8">
        <f t="shared" si="3"/>
        <v>0.13970588235294118</v>
      </c>
      <c r="L22">
        <v>8</v>
      </c>
      <c r="M22" s="13">
        <f t="shared" si="4"/>
        <v>64</v>
      </c>
      <c r="N22" s="14">
        <f t="shared" ref="N22:N32" si="5">(D22+C22)/8</f>
        <v>66.625</v>
      </c>
      <c r="O22">
        <v>317</v>
      </c>
      <c r="P22">
        <v>457</v>
      </c>
    </row>
    <row r="23" spans="1:16" x14ac:dyDescent="0.35">
      <c r="A23" s="1">
        <f t="shared" si="0"/>
        <v>45891</v>
      </c>
      <c r="B23" s="1" t="str">
        <f t="shared" si="2"/>
        <v>יום שישי</v>
      </c>
      <c r="C23" s="20">
        <v>0</v>
      </c>
      <c r="D23" s="20">
        <v>0</v>
      </c>
      <c r="E23" t="s">
        <v>5</v>
      </c>
      <c r="G23">
        <v>0</v>
      </c>
      <c r="H23" s="8">
        <v>0</v>
      </c>
      <c r="I23" s="8">
        <v>0</v>
      </c>
      <c r="J23">
        <f t="shared" si="1"/>
        <v>0</v>
      </c>
      <c r="K23" s="8">
        <v>0</v>
      </c>
      <c r="L23">
        <v>0</v>
      </c>
      <c r="M23" s="13">
        <f t="shared" si="4"/>
        <v>0</v>
      </c>
      <c r="N23" s="14">
        <f t="shared" si="5"/>
        <v>0</v>
      </c>
    </row>
    <row r="24" spans="1:16" x14ac:dyDescent="0.35">
      <c r="A24" s="1">
        <f t="shared" si="0"/>
        <v>45892</v>
      </c>
      <c r="B24" s="1" t="str">
        <f t="shared" si="2"/>
        <v>שבת</v>
      </c>
      <c r="C24" s="20">
        <v>0</v>
      </c>
      <c r="D24" s="20">
        <v>0</v>
      </c>
      <c r="E24" t="s">
        <v>5</v>
      </c>
      <c r="G24">
        <v>0</v>
      </c>
      <c r="H24" s="8">
        <v>0</v>
      </c>
      <c r="I24" s="8">
        <v>0</v>
      </c>
      <c r="J24">
        <f t="shared" si="1"/>
        <v>0</v>
      </c>
      <c r="K24" s="8">
        <v>0</v>
      </c>
      <c r="L24">
        <v>0</v>
      </c>
      <c r="M24" s="13">
        <f t="shared" si="4"/>
        <v>0</v>
      </c>
      <c r="N24" s="14">
        <f t="shared" si="5"/>
        <v>0</v>
      </c>
    </row>
    <row r="25" spans="1:16" x14ac:dyDescent="0.35">
      <c r="A25" s="1">
        <f t="shared" si="0"/>
        <v>45893</v>
      </c>
      <c r="B25" s="1" t="str">
        <f t="shared" si="2"/>
        <v>יום ראשון</v>
      </c>
      <c r="C25" s="20">
        <v>280</v>
      </c>
      <c r="D25" s="20">
        <v>276</v>
      </c>
      <c r="G25">
        <v>238</v>
      </c>
      <c r="H25" s="8">
        <f>(C25/'אוגוסט 24'!C26) - 1</f>
        <v>4.8689138576778923E-2</v>
      </c>
      <c r="I25" s="8">
        <f>(G25/'אוגוסט 24'!G26) - 1</f>
        <v>-0.27217125382262997</v>
      </c>
      <c r="J25">
        <f t="shared" si="1"/>
        <v>38</v>
      </c>
      <c r="K25" s="8">
        <f t="shared" si="3"/>
        <v>0.13768115942028986</v>
      </c>
      <c r="L25">
        <v>8</v>
      </c>
      <c r="M25" s="13">
        <f t="shared" si="4"/>
        <v>64</v>
      </c>
      <c r="N25" s="14">
        <f t="shared" si="5"/>
        <v>69.5</v>
      </c>
    </row>
    <row r="26" spans="1:16" x14ac:dyDescent="0.35">
      <c r="A26" s="1">
        <f t="shared" si="0"/>
        <v>45894</v>
      </c>
      <c r="B26" s="1" t="str">
        <f t="shared" si="2"/>
        <v>יום שני</v>
      </c>
      <c r="C26" s="15">
        <f>'אוגוסט 24'!C27 * (1 + $H$33)</f>
        <v>256.94026498989444</v>
      </c>
      <c r="D26" s="15">
        <f>'אוגוסט 24'!G27 * (1 + $I$33)*(1+0.167)</f>
        <v>305.58130708985982</v>
      </c>
      <c r="H26" s="8"/>
      <c r="I26" s="8"/>
      <c r="L26">
        <v>8</v>
      </c>
      <c r="M26" s="13">
        <f t="shared" si="4"/>
        <v>64</v>
      </c>
      <c r="N26" s="14">
        <f t="shared" si="5"/>
        <v>70.315196509969283</v>
      </c>
    </row>
    <row r="27" spans="1:16" x14ac:dyDescent="0.35">
      <c r="A27" s="1">
        <f t="shared" si="0"/>
        <v>45895</v>
      </c>
      <c r="B27" s="1" t="str">
        <f t="shared" si="2"/>
        <v>יום שלישי</v>
      </c>
      <c r="C27" s="15">
        <f>'אוגוסט 24'!C28 * (1 + $H$33)</f>
        <v>223.91982932854256</v>
      </c>
      <c r="D27" s="15">
        <f>'אוגוסט 24'!G28 * (1 + $I$33)*(1+0.167)</f>
        <v>278.27850989282774</v>
      </c>
      <c r="H27" s="8"/>
      <c r="I27" s="8"/>
      <c r="L27">
        <v>8</v>
      </c>
      <c r="M27" s="13">
        <f t="shared" si="4"/>
        <v>64</v>
      </c>
      <c r="N27" s="14">
        <f t="shared" si="5"/>
        <v>62.774792402671288</v>
      </c>
    </row>
    <row r="28" spans="1:16" x14ac:dyDescent="0.35">
      <c r="A28" s="1">
        <f t="shared" si="0"/>
        <v>45896</v>
      </c>
      <c r="B28" s="1" t="str">
        <f t="shared" si="2"/>
        <v>יום רביעי</v>
      </c>
      <c r="C28" s="15">
        <f>'אוגוסט 24'!C29 * (1 + $H$33)</f>
        <v>214.63283179878732</v>
      </c>
      <c r="D28" s="15">
        <f>'אוגוסט 24'!G29 * (1 + $I$33)*(1+0.167)</f>
        <v>342.33507254740317</v>
      </c>
      <c r="H28" s="8"/>
      <c r="I28" s="8"/>
      <c r="L28">
        <v>8</v>
      </c>
      <c r="M28" s="13">
        <f t="shared" si="4"/>
        <v>64</v>
      </c>
      <c r="N28" s="14">
        <f t="shared" si="5"/>
        <v>69.620988043273812</v>
      </c>
    </row>
    <row r="29" spans="1:16" x14ac:dyDescent="0.35">
      <c r="A29" s="1">
        <f t="shared" si="0"/>
        <v>45897</v>
      </c>
      <c r="B29" s="1" t="str">
        <f t="shared" si="2"/>
        <v>יום חמישי</v>
      </c>
      <c r="C29" s="15">
        <f>'אוגוסט 24'!C30 * (1 + $H$33)</f>
        <v>208.44150011228385</v>
      </c>
      <c r="D29" s="15">
        <f>'אוגוסט 24'!G30 * (1 + $I$33)*(1+0.167)</f>
        <v>287.72947815333885</v>
      </c>
      <c r="E29" t="s">
        <v>6</v>
      </c>
      <c r="H29" s="8"/>
      <c r="I29" s="8"/>
      <c r="L29">
        <v>8</v>
      </c>
      <c r="M29" s="13">
        <f t="shared" si="4"/>
        <v>64</v>
      </c>
      <c r="N29" s="14">
        <f t="shared" si="5"/>
        <v>62.021372283202837</v>
      </c>
    </row>
    <row r="30" spans="1:16" x14ac:dyDescent="0.35">
      <c r="A30" s="1">
        <f t="shared" si="0"/>
        <v>45898</v>
      </c>
      <c r="B30" s="1" t="str">
        <f t="shared" si="2"/>
        <v>יום שישי</v>
      </c>
      <c r="C30" s="15">
        <f>'אוגוסט 24'!C31 * (1 + $H$33)</f>
        <v>0</v>
      </c>
      <c r="D30" s="15">
        <f>'אוגוסט 24'!G31 * (1 + $I$33)*(1+0.167)</f>
        <v>0</v>
      </c>
      <c r="E30" t="s">
        <v>5</v>
      </c>
      <c r="G30">
        <v>0</v>
      </c>
      <c r="H30" s="8"/>
      <c r="I30" s="8"/>
      <c r="L30">
        <v>0</v>
      </c>
      <c r="M30" s="13">
        <f t="shared" si="4"/>
        <v>0</v>
      </c>
      <c r="N30" s="14">
        <f t="shared" si="5"/>
        <v>0</v>
      </c>
    </row>
    <row r="31" spans="1:16" x14ac:dyDescent="0.35">
      <c r="A31" s="1">
        <f t="shared" si="0"/>
        <v>45899</v>
      </c>
      <c r="B31" s="1" t="str">
        <f t="shared" si="2"/>
        <v>שבת</v>
      </c>
      <c r="C31" s="15">
        <f>'אוגוסט 24'!C32 * (1 + $H$33)</f>
        <v>0</v>
      </c>
      <c r="D31" s="15">
        <f>'אוגוסט 24'!G32 * (1 + $I$33)*(1+0.167)</f>
        <v>0</v>
      </c>
      <c r="E31" t="s">
        <v>5</v>
      </c>
      <c r="G31">
        <v>0</v>
      </c>
      <c r="H31" s="8"/>
      <c r="I31" s="8"/>
      <c r="L31">
        <v>0</v>
      </c>
      <c r="M31" s="13">
        <f t="shared" si="4"/>
        <v>0</v>
      </c>
      <c r="N31" s="14">
        <f t="shared" si="5"/>
        <v>0</v>
      </c>
    </row>
    <row r="32" spans="1:16" x14ac:dyDescent="0.35">
      <c r="A32" s="1">
        <f t="shared" si="0"/>
        <v>45900</v>
      </c>
      <c r="B32" s="1" t="str">
        <f>TEXT(A32,"dddd")</f>
        <v>יום ראשון</v>
      </c>
      <c r="C32" s="15">
        <f>'אוגוסט 24'!C12 * (1 + $H$33)</f>
        <v>351.87401751628113</v>
      </c>
      <c r="D32" s="15">
        <f>'אוגוסט 24'!G12 * (1 + $I$33)*(1+0.167)</f>
        <v>313.98216776586975</v>
      </c>
      <c r="E32" t="s">
        <v>6</v>
      </c>
      <c r="H32" s="8"/>
      <c r="I32" s="8"/>
      <c r="L32">
        <v>8</v>
      </c>
      <c r="M32" s="13">
        <f t="shared" si="4"/>
        <v>64</v>
      </c>
      <c r="N32" s="14">
        <f t="shared" si="5"/>
        <v>83.232023160268852</v>
      </c>
    </row>
    <row r="33" spans="8:10" x14ac:dyDescent="0.35">
      <c r="H33" s="8">
        <f>SUM(C2:C25)/SUM('אוגוסט 24'!C2:C26) - 1</f>
        <v>3.1888614417246774E-2</v>
      </c>
      <c r="I33" s="8">
        <f>SUM(G2:G25)/SUM('אוגוסט 24'!G2:G26) - 1</f>
        <v>-0.10016488046166527</v>
      </c>
      <c r="J33">
        <f>SUMPRODUCT(D2:D25,K2:K25)/SUM(D2:D25)</f>
        <v>0.17947754181544823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0B93A-61E7-403D-B90A-4279945849B1}">
  <sheetPr>
    <tabColor theme="2"/>
  </sheetPr>
  <dimension ref="A1:J33"/>
  <sheetViews>
    <sheetView rightToLeft="1" workbookViewId="0">
      <selection activeCell="N25" sqref="N25"/>
    </sheetView>
  </sheetViews>
  <sheetFormatPr defaultRowHeight="14.15" x14ac:dyDescent="0.35"/>
  <cols>
    <col min="1" max="1" width="9.85546875" bestFit="1" customWidth="1"/>
    <col min="3" max="3" width="18.35546875" bestFit="1" customWidth="1"/>
    <col min="4" max="4" width="13.5" bestFit="1" customWidth="1"/>
    <col min="5" max="5" width="11.5" bestFit="1" customWidth="1"/>
    <col min="6" max="6" width="12.5" bestFit="1" customWidth="1"/>
    <col min="7" max="7" width="17.85546875" bestFit="1" customWidth="1"/>
    <col min="8" max="8" width="12.85546875" bestFit="1" customWidth="1"/>
    <col min="9" max="9" width="12" bestFit="1" customWidth="1"/>
    <col min="10" max="10" width="14" bestFit="1" customWidth="1"/>
  </cols>
  <sheetData>
    <row r="1" spans="1:10" x14ac:dyDescent="0.35">
      <c r="A1" t="s">
        <v>2</v>
      </c>
      <c r="B1" t="s">
        <v>10</v>
      </c>
      <c r="C1" t="s">
        <v>0</v>
      </c>
      <c r="D1" t="s">
        <v>1</v>
      </c>
      <c r="E1" t="s">
        <v>3</v>
      </c>
      <c r="F1" t="s">
        <v>7</v>
      </c>
      <c r="G1" t="s">
        <v>8</v>
      </c>
      <c r="H1" t="s">
        <v>18</v>
      </c>
      <c r="I1" t="s">
        <v>19</v>
      </c>
      <c r="J1" t="s">
        <v>20</v>
      </c>
    </row>
    <row r="2" spans="1:10" x14ac:dyDescent="0.35">
      <c r="A2" s="1">
        <f>DATE(2025,9,1) + ROW(A1) - 1</f>
        <v>45901</v>
      </c>
      <c r="B2" s="1" t="str">
        <f>TEXT(A2,"dddd")</f>
        <v>יום שני</v>
      </c>
      <c r="C2" s="9">
        <v>290</v>
      </c>
      <c r="D2" s="9">
        <v>423</v>
      </c>
      <c r="E2" t="s">
        <v>17</v>
      </c>
      <c r="F2">
        <v>7</v>
      </c>
      <c r="G2">
        <v>356</v>
      </c>
      <c r="H2">
        <v>10</v>
      </c>
      <c r="I2" s="13">
        <f>8*H2</f>
        <v>80</v>
      </c>
      <c r="J2" s="13">
        <f>(D2+C2)/8</f>
        <v>89.125</v>
      </c>
    </row>
    <row r="3" spans="1:10" x14ac:dyDescent="0.35">
      <c r="A3" s="1">
        <f>DATE(2025,9,1) + ROW(A2) - 1</f>
        <v>45902</v>
      </c>
      <c r="B3" s="1" t="str">
        <f>TEXT(A3,"dddd")</f>
        <v>יום שלישי</v>
      </c>
      <c r="C3" s="9">
        <v>210</v>
      </c>
      <c r="D3" s="9">
        <v>275</v>
      </c>
      <c r="F3">
        <v>7</v>
      </c>
      <c r="G3">
        <v>229</v>
      </c>
      <c r="H3">
        <v>10</v>
      </c>
      <c r="I3" s="13">
        <f>8*H3</f>
        <v>80</v>
      </c>
      <c r="J3" s="13">
        <f>(D3+C3)/8</f>
        <v>60.625</v>
      </c>
    </row>
    <row r="4" spans="1:10" x14ac:dyDescent="0.35">
      <c r="A4" s="1">
        <f>DATE(2025,9,1) + ROW(A3) - 1</f>
        <v>45903</v>
      </c>
      <c r="B4" s="1" t="str">
        <f>TEXT(A4,"dddd")</f>
        <v>יום רביעי</v>
      </c>
      <c r="C4" s="9">
        <v>174</v>
      </c>
      <c r="D4" s="9">
        <v>197</v>
      </c>
      <c r="F4">
        <v>8</v>
      </c>
      <c r="G4">
        <v>168</v>
      </c>
      <c r="H4">
        <v>10</v>
      </c>
      <c r="I4" s="13">
        <f>8*H4</f>
        <v>80</v>
      </c>
      <c r="J4" s="13">
        <f>(D4+C4)/8</f>
        <v>46.375</v>
      </c>
    </row>
    <row r="5" spans="1:10" x14ac:dyDescent="0.35">
      <c r="A5" s="1">
        <f>DATE(2025,9,1) + ROW(A4) - 1</f>
        <v>45904</v>
      </c>
      <c r="B5" s="1" t="str">
        <f>TEXT(A5,"dddd")</f>
        <v>יום חמישי</v>
      </c>
      <c r="C5" s="9">
        <v>170</v>
      </c>
      <c r="D5" s="9">
        <v>210</v>
      </c>
      <c r="G5">
        <v>177</v>
      </c>
      <c r="H5">
        <v>10</v>
      </c>
      <c r="I5" s="13">
        <f>8*H5</f>
        <v>80</v>
      </c>
      <c r="J5" s="13">
        <f>(D5+C5)/8</f>
        <v>47.5</v>
      </c>
    </row>
    <row r="6" spans="1:10" x14ac:dyDescent="0.35">
      <c r="A6" s="1">
        <f>DATE(2025,9,1) + ROW(A5) - 1</f>
        <v>45905</v>
      </c>
      <c r="B6" s="1" t="str">
        <f>TEXT(A6,"dddd")</f>
        <v>יום שישי</v>
      </c>
      <c r="C6">
        <v>0</v>
      </c>
      <c r="D6">
        <v>0</v>
      </c>
      <c r="E6" t="s">
        <v>5</v>
      </c>
    </row>
    <row r="7" spans="1:10" x14ac:dyDescent="0.35">
      <c r="A7" s="1"/>
      <c r="B7" s="1"/>
    </row>
    <row r="8" spans="1:10" x14ac:dyDescent="0.35">
      <c r="A8" s="1"/>
      <c r="B8" s="1"/>
    </row>
    <row r="9" spans="1:10" x14ac:dyDescent="0.35">
      <c r="A9" s="1"/>
      <c r="B9" s="1"/>
    </row>
    <row r="10" spans="1:10" x14ac:dyDescent="0.35">
      <c r="A10" s="1"/>
      <c r="B10" s="1"/>
    </row>
    <row r="11" spans="1:10" x14ac:dyDescent="0.35">
      <c r="A11" s="1"/>
      <c r="B11" s="1"/>
    </row>
    <row r="12" spans="1:10" x14ac:dyDescent="0.35">
      <c r="A12" s="1"/>
      <c r="B12" s="1"/>
    </row>
    <row r="13" spans="1:10" x14ac:dyDescent="0.35">
      <c r="A13" s="1"/>
      <c r="B13" s="1"/>
    </row>
    <row r="14" spans="1:10" x14ac:dyDescent="0.35">
      <c r="A14" s="1"/>
      <c r="B14" s="1"/>
    </row>
    <row r="15" spans="1:10" x14ac:dyDescent="0.35">
      <c r="A15" s="1"/>
      <c r="B15" s="1"/>
    </row>
    <row r="16" spans="1:10" x14ac:dyDescent="0.35">
      <c r="A16" s="1"/>
      <c r="B16" s="1"/>
    </row>
    <row r="17" spans="1:10" x14ac:dyDescent="0.35">
      <c r="A17" s="1"/>
      <c r="B17" s="1"/>
    </row>
    <row r="18" spans="1:10" x14ac:dyDescent="0.35">
      <c r="A18" s="1"/>
      <c r="B18" s="1"/>
    </row>
    <row r="19" spans="1:10" x14ac:dyDescent="0.35">
      <c r="A19" s="1"/>
      <c r="B19" s="1"/>
    </row>
    <row r="20" spans="1:10" x14ac:dyDescent="0.35">
      <c r="A20" s="1"/>
      <c r="B20" s="1"/>
    </row>
    <row r="21" spans="1:10" x14ac:dyDescent="0.35">
      <c r="A21" s="1"/>
      <c r="B21" s="1"/>
      <c r="J21" s="12"/>
    </row>
    <row r="22" spans="1:10" x14ac:dyDescent="0.35">
      <c r="A22" s="1"/>
      <c r="B22" s="1"/>
      <c r="J22" s="12"/>
    </row>
    <row r="23" spans="1:10" x14ac:dyDescent="0.35">
      <c r="A23" s="1"/>
      <c r="B23" s="1"/>
      <c r="J23" s="12"/>
    </row>
    <row r="24" spans="1:10" x14ac:dyDescent="0.35">
      <c r="A24" s="1"/>
      <c r="B24" s="1"/>
      <c r="J24" s="12"/>
    </row>
    <row r="25" spans="1:10" x14ac:dyDescent="0.35">
      <c r="A25" s="1"/>
      <c r="B25" s="1"/>
      <c r="J25" s="12"/>
    </row>
    <row r="26" spans="1:10" x14ac:dyDescent="0.35">
      <c r="A26" s="1"/>
      <c r="B26" s="1"/>
      <c r="J26" s="12"/>
    </row>
    <row r="27" spans="1:10" x14ac:dyDescent="0.35">
      <c r="A27" s="1"/>
      <c r="B27" s="1"/>
      <c r="J27" s="12"/>
    </row>
    <row r="28" spans="1:10" x14ac:dyDescent="0.35">
      <c r="A28" s="1"/>
      <c r="B28" s="1"/>
      <c r="J28" s="12"/>
    </row>
    <row r="29" spans="1:10" x14ac:dyDescent="0.35">
      <c r="A29" s="1"/>
      <c r="B29" s="1"/>
      <c r="J29" s="12"/>
    </row>
    <row r="30" spans="1:10" x14ac:dyDescent="0.35">
      <c r="A30" s="1"/>
      <c r="B30" s="1"/>
      <c r="J30" s="12"/>
    </row>
    <row r="31" spans="1:10" x14ac:dyDescent="0.35">
      <c r="A31" s="1"/>
      <c r="B31" s="1"/>
      <c r="J31" s="12"/>
    </row>
    <row r="32" spans="1:10" x14ac:dyDescent="0.35">
      <c r="A32" s="1"/>
      <c r="B32" s="1"/>
      <c r="J32" s="12"/>
    </row>
    <row r="33" spans="2:4" x14ac:dyDescent="0.35">
      <c r="B33">
        <f>SUM(C2:C4)/SUM('ספט 24'!C2:C5) - 1</f>
        <v>-0.29937629937629939</v>
      </c>
      <c r="C33">
        <f>SUM(G2:G5)/SUM('ספט 24'!G2:G6) - 1</f>
        <v>-0.49811117107393421</v>
      </c>
      <c r="D33" s="12">
        <v>0.16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3234E-DC04-434B-8B20-71D2E487DCE0}">
  <dimension ref="A1:P11"/>
  <sheetViews>
    <sheetView rightToLeft="1" workbookViewId="0">
      <selection activeCell="K14" sqref="K14"/>
    </sheetView>
  </sheetViews>
  <sheetFormatPr defaultRowHeight="14.15" x14ac:dyDescent="0.35"/>
  <cols>
    <col min="2" max="2" width="22.2109375" customWidth="1"/>
    <col min="3" max="3" width="10.85546875" customWidth="1"/>
    <col min="4" max="4" width="14.140625" customWidth="1"/>
    <col min="5" max="5" width="9" customWidth="1"/>
  </cols>
  <sheetData>
    <row r="1" spans="1:16" x14ac:dyDescent="0.35">
      <c r="A1" s="19" t="s">
        <v>25</v>
      </c>
      <c r="B1" s="16" t="s">
        <v>26</v>
      </c>
      <c r="C1" s="16" t="s">
        <v>27</v>
      </c>
      <c r="D1" s="16" t="s">
        <v>28</v>
      </c>
      <c r="E1" s="16"/>
      <c r="F1" s="16">
        <v>0.75</v>
      </c>
    </row>
    <row r="2" spans="1:16" x14ac:dyDescent="0.35">
      <c r="A2" s="19" t="s">
        <v>29</v>
      </c>
      <c r="B2" s="17">
        <v>3.0555555555555557E-3</v>
      </c>
      <c r="C2" s="18">
        <v>1</v>
      </c>
      <c r="D2" s="16">
        <f>IF(B2&gt;0, 3600/(B2*86400), 0)</f>
        <v>13.636363636363637</v>
      </c>
      <c r="E2" s="16">
        <f>IF(B2&gt;0, (3600/(B2*86400)) * $F$1 * MIN(IF(C2="",1,C2),1), 0)</f>
        <v>10.227272727272727</v>
      </c>
      <c r="F2" s="16">
        <f xml:space="preserve"> $P$2 * E2</f>
        <v>71.590909090909093</v>
      </c>
      <c r="P2">
        <v>7</v>
      </c>
    </row>
    <row r="3" spans="1:16" x14ac:dyDescent="0.35">
      <c r="A3" s="19" t="s">
        <v>30</v>
      </c>
      <c r="B3" s="17">
        <v>4.386574074074074E-3</v>
      </c>
      <c r="C3" s="18">
        <v>1</v>
      </c>
      <c r="D3" s="16">
        <f t="shared" ref="D3:D11" si="0">IF(B3&gt;0, 3600/(B3*86400), 0)</f>
        <v>9.4986807387862804</v>
      </c>
      <c r="E3" s="16">
        <f t="shared" ref="E3:E11" si="1">IF(B3&gt;0, (3600/(B3*86400)) * $F$1 * MIN(IF(C3="",1,C3),1), 0)</f>
        <v>7.1240105540897103</v>
      </c>
      <c r="F3" s="16">
        <f t="shared" ref="F3:F11" si="2" xml:space="preserve"> $P$2 * E3</f>
        <v>49.868073878627975</v>
      </c>
    </row>
    <row r="4" spans="1:16" x14ac:dyDescent="0.35">
      <c r="A4" s="19" t="s">
        <v>31</v>
      </c>
      <c r="B4" s="17">
        <v>2.8703703703703708E-3</v>
      </c>
      <c r="C4" s="18">
        <v>1</v>
      </c>
      <c r="D4" s="16">
        <f t="shared" si="0"/>
        <v>14.516129032258062</v>
      </c>
      <c r="E4" s="16">
        <f t="shared" si="1"/>
        <v>10.887096774193546</v>
      </c>
      <c r="F4" s="16">
        <f t="shared" si="2"/>
        <v>76.209677419354819</v>
      </c>
    </row>
    <row r="5" spans="1:16" x14ac:dyDescent="0.35">
      <c r="A5" s="19" t="s">
        <v>32</v>
      </c>
      <c r="B5" s="17">
        <v>3.5416666666666665E-3</v>
      </c>
      <c r="C5" s="18">
        <v>1</v>
      </c>
      <c r="D5" s="16">
        <f t="shared" si="0"/>
        <v>11.764705882352942</v>
      </c>
      <c r="E5" s="16">
        <f t="shared" si="1"/>
        <v>8.8235294117647065</v>
      </c>
      <c r="F5" s="16">
        <f t="shared" si="2"/>
        <v>61.764705882352942</v>
      </c>
    </row>
    <row r="6" spans="1:16" x14ac:dyDescent="0.35">
      <c r="A6" s="19" t="s">
        <v>33</v>
      </c>
      <c r="B6" s="17">
        <v>3.3680555555555551E-3</v>
      </c>
      <c r="C6" s="18">
        <v>1</v>
      </c>
      <c r="D6" s="16">
        <f t="shared" si="0"/>
        <v>12.371134020618559</v>
      </c>
      <c r="E6" s="16">
        <f t="shared" si="1"/>
        <v>9.2783505154639201</v>
      </c>
      <c r="F6" s="16">
        <f t="shared" si="2"/>
        <v>64.948453608247434</v>
      </c>
    </row>
    <row r="7" spans="1:16" x14ac:dyDescent="0.35">
      <c r="A7" s="19" t="s">
        <v>34</v>
      </c>
      <c r="B7" s="17">
        <v>4.409722222222222E-3</v>
      </c>
      <c r="C7" s="18">
        <v>1</v>
      </c>
      <c r="D7" s="16">
        <f t="shared" si="0"/>
        <v>9.4488188976377945</v>
      </c>
      <c r="E7" s="16">
        <f t="shared" si="1"/>
        <v>7.0866141732283463</v>
      </c>
      <c r="F7" s="16">
        <f t="shared" si="2"/>
        <v>49.606299212598422</v>
      </c>
    </row>
    <row r="8" spans="1:16" x14ac:dyDescent="0.35">
      <c r="A8" s="19" t="s">
        <v>35</v>
      </c>
      <c r="B8" s="17">
        <v>3.8078703703703707E-3</v>
      </c>
      <c r="C8" s="18">
        <f>4/$P$2</f>
        <v>0.5714285714285714</v>
      </c>
      <c r="D8" s="16">
        <f t="shared" si="0"/>
        <v>10.942249240121578</v>
      </c>
      <c r="E8" s="16">
        <f t="shared" si="1"/>
        <v>4.6895353886235336</v>
      </c>
      <c r="F8" s="16">
        <f t="shared" si="2"/>
        <v>32.826747720364736</v>
      </c>
    </row>
    <row r="9" spans="1:16" x14ac:dyDescent="0.35">
      <c r="A9" s="19" t="s">
        <v>36</v>
      </c>
      <c r="B9" s="17">
        <v>3.7268518518518514E-3</v>
      </c>
      <c r="C9" s="18">
        <v>1</v>
      </c>
      <c r="D9" s="16">
        <f t="shared" si="0"/>
        <v>11.180124223602487</v>
      </c>
      <c r="E9" s="16">
        <f t="shared" si="1"/>
        <v>8.3850931677018643</v>
      </c>
      <c r="F9" s="16">
        <f t="shared" si="2"/>
        <v>58.695652173913047</v>
      </c>
    </row>
    <row r="10" spans="1:16" x14ac:dyDescent="0.35">
      <c r="A10" s="19" t="s">
        <v>37</v>
      </c>
      <c r="B10" s="17">
        <v>5.0347222222222225E-3</v>
      </c>
      <c r="C10" s="18">
        <v>1</v>
      </c>
      <c r="D10" s="16">
        <f t="shared" si="0"/>
        <v>8.2758620689655178</v>
      </c>
      <c r="E10" s="16">
        <f t="shared" si="1"/>
        <v>6.2068965517241388</v>
      </c>
      <c r="F10" s="16">
        <f t="shared" si="2"/>
        <v>43.448275862068968</v>
      </c>
    </row>
    <row r="11" spans="1:16" x14ac:dyDescent="0.35">
      <c r="A11" s="19" t="s">
        <v>38</v>
      </c>
      <c r="B11" s="17">
        <v>3.8078703703703707E-3</v>
      </c>
      <c r="C11" s="18">
        <v>1</v>
      </c>
      <c r="D11" s="16">
        <f t="shared" si="0"/>
        <v>10.942249240121578</v>
      </c>
      <c r="E11" s="16">
        <f t="shared" si="1"/>
        <v>8.206686930091184</v>
      </c>
      <c r="F11" s="16">
        <f t="shared" si="2"/>
        <v>57.446808510638292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8D0E-720E-43A5-BCCA-8BD6DE653F98}">
  <sheetPr>
    <tabColor rgb="FF00B050"/>
  </sheetPr>
  <dimension ref="A1:W41"/>
  <sheetViews>
    <sheetView rightToLeft="1" topLeftCell="K1" workbookViewId="0">
      <selection activeCell="V1" sqref="V1:W17"/>
    </sheetView>
  </sheetViews>
  <sheetFormatPr defaultRowHeight="14.15" x14ac:dyDescent="0.35"/>
  <cols>
    <col min="1" max="1" width="9.85546875" bestFit="1" customWidth="1"/>
    <col min="3" max="3" width="18.35546875" customWidth="1"/>
    <col min="4" max="4" width="13.5" customWidth="1"/>
    <col min="5" max="5" width="22.140625" bestFit="1" customWidth="1"/>
    <col min="6" max="6" width="12.5" bestFit="1" customWidth="1"/>
    <col min="7" max="13" width="22.35546875" customWidth="1"/>
    <col min="14" max="14" width="26.640625" bestFit="1" customWidth="1"/>
    <col min="15" max="15" width="34.35546875" bestFit="1" customWidth="1"/>
    <col min="16" max="17" width="34.35546875" customWidth="1"/>
    <col min="18" max="20" width="9" hidden="1" customWidth="1"/>
    <col min="21" max="21" width="0" hidden="1" customWidth="1"/>
    <col min="22" max="22" width="12.5" bestFit="1" customWidth="1"/>
    <col min="23" max="23" width="13.35546875" bestFit="1" customWidth="1"/>
  </cols>
  <sheetData>
    <row r="1" spans="1:23" x14ac:dyDescent="0.35">
      <c r="A1" t="s">
        <v>2</v>
      </c>
      <c r="B1" t="s">
        <v>10</v>
      </c>
      <c r="C1" t="s">
        <v>0</v>
      </c>
      <c r="D1" t="s">
        <v>1</v>
      </c>
      <c r="E1" t="s">
        <v>3</v>
      </c>
      <c r="F1" t="s">
        <v>7</v>
      </c>
      <c r="G1" t="s">
        <v>40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53</v>
      </c>
      <c r="O1" t="s">
        <v>54</v>
      </c>
      <c r="P1" t="s">
        <v>55</v>
      </c>
      <c r="Q1" t="s">
        <v>56</v>
      </c>
      <c r="R1" t="s">
        <v>42</v>
      </c>
      <c r="S1" t="s">
        <v>41</v>
      </c>
      <c r="T1" t="s">
        <v>43</v>
      </c>
      <c r="V1" s="35" t="s">
        <v>68</v>
      </c>
      <c r="W1" s="35" t="s">
        <v>69</v>
      </c>
    </row>
    <row r="2" spans="1:23" hidden="1" x14ac:dyDescent="0.35">
      <c r="A2" s="1">
        <f t="shared" ref="A2:A8" si="0">DATE(2025,8,25) + ROW(A2) - 1</f>
        <v>45895</v>
      </c>
      <c r="B2" s="1" t="str">
        <f t="shared" ref="B2:B7" si="1">TEXT(A2,"dddd")</f>
        <v>יום שלישי</v>
      </c>
      <c r="C2" s="20">
        <f>AVERAGEIFS('אוגוסט 24'!$C:$C,'אוגוסט 24'!$B:$B,$B2)</f>
        <v>220.25</v>
      </c>
      <c r="D2" s="20">
        <f>AVERAGEIFS('אוגוסט 24'!$G:$G,'אוגוסט 24'!$B:$B,$B2)</f>
        <v>231</v>
      </c>
      <c r="F2">
        <v>7</v>
      </c>
      <c r="G2" s="20">
        <f xml:space="preserve"> D2 * (1 + $S$14) * $A$41</f>
        <v>207.86191261335532</v>
      </c>
      <c r="H2" s="21">
        <f xml:space="preserve"> C2 * (1 + $R$14) * 1.44</f>
        <v>327.273792948574</v>
      </c>
      <c r="I2" s="20">
        <f t="shared" ref="I2:I12" si="2" xml:space="preserve"> G2 * $T$14</f>
        <v>37.306545112902526</v>
      </c>
      <c r="J2" s="20">
        <f t="shared" ref="J2:J12" si="3">G2+I2</f>
        <v>245.16845772625783</v>
      </c>
      <c r="K2" s="20">
        <v>385</v>
      </c>
      <c r="L2" s="20">
        <f t="shared" ref="L2:L12" si="4">K2-J2</f>
        <v>139.83154227374217</v>
      </c>
      <c r="M2" s="21">
        <f>(J2+MAX(0, -L2))*1.19</f>
        <v>291.75046469424683</v>
      </c>
      <c r="N2" s="24">
        <f t="shared" ref="N2:N12" si="5">M2*0.96</f>
        <v>280.08044610647693</v>
      </c>
      <c r="O2" s="23">
        <f t="shared" ref="O2:O12" si="6">ROUNDUP((N2/$E$41)*7, 0)</f>
        <v>38</v>
      </c>
      <c r="P2" s="25">
        <f t="shared" ref="P2:P11" si="7">7*$F2</f>
        <v>49</v>
      </c>
      <c r="Q2" s="22">
        <f t="shared" ref="Q2:Q11" si="8">8*$P2</f>
        <v>392</v>
      </c>
    </row>
    <row r="3" spans="1:23" hidden="1" x14ac:dyDescent="0.35">
      <c r="A3" s="1">
        <f t="shared" si="0"/>
        <v>45896</v>
      </c>
      <c r="B3" s="1" t="str">
        <f t="shared" si="1"/>
        <v>יום רביעי</v>
      </c>
      <c r="C3" s="20">
        <f>AVERAGEIFS('אוגוסט 24'!$C:$C,'אוגוסט 24'!$B:$B,$B3)</f>
        <v>272.25</v>
      </c>
      <c r="D3" s="20">
        <f>AVERAGEIFS('אוגוסט 24'!$G:$G,'אוגוסט 24'!$B:$B,$B3)</f>
        <v>331</v>
      </c>
      <c r="F3">
        <v>8</v>
      </c>
      <c r="G3" s="20">
        <f xml:space="preserve"> D3 * (1 + $S$14) * $A$41</f>
        <v>297.84542456718879</v>
      </c>
      <c r="H3" s="21">
        <f xml:space="preserve"> C3 * (1 + $R$14) * $A$41</f>
        <v>280.93167527509542</v>
      </c>
      <c r="I3" s="20">
        <f t="shared" si="2"/>
        <v>53.456564642297558</v>
      </c>
      <c r="J3" s="20">
        <f t="shared" si="3"/>
        <v>351.30198920948635</v>
      </c>
      <c r="K3" s="20">
        <v>418</v>
      </c>
      <c r="L3" s="20">
        <f t="shared" si="4"/>
        <v>66.698010790513649</v>
      </c>
      <c r="M3" s="21">
        <f t="shared" ref="M3:M10" si="9">J3+MAX(0, -L3)</f>
        <v>351.30198920948635</v>
      </c>
      <c r="N3" s="24">
        <f t="shared" si="5"/>
        <v>337.24990964110691</v>
      </c>
      <c r="O3" s="23">
        <f t="shared" si="6"/>
        <v>46</v>
      </c>
      <c r="P3" s="25">
        <f t="shared" si="7"/>
        <v>56</v>
      </c>
      <c r="Q3" s="22">
        <f t="shared" si="8"/>
        <v>448</v>
      </c>
    </row>
    <row r="4" spans="1:23" hidden="1" x14ac:dyDescent="0.35">
      <c r="A4" s="1">
        <f t="shared" si="0"/>
        <v>45897</v>
      </c>
      <c r="B4" s="1" t="str">
        <f t="shared" si="1"/>
        <v>יום חמישי</v>
      </c>
      <c r="C4" s="20">
        <f>AVERAGEIFS('אוגוסט 24'!$C:$C,'אוגוסט 24'!$B:$B,$B4)</f>
        <v>224.8</v>
      </c>
      <c r="D4" s="20">
        <f>AVERAGEIFS('אוגוסט 24'!$G:$G,'אוגוסט 24'!$B:$B,$B4)</f>
        <v>295</v>
      </c>
      <c r="E4" t="s">
        <v>6</v>
      </c>
      <c r="F4">
        <v>8</v>
      </c>
      <c r="G4" s="20">
        <f xml:space="preserve"> D4 * (1 + $S$14) * $B$41</f>
        <v>270.76038746908489</v>
      </c>
      <c r="H4" s="21">
        <f xml:space="preserve"> C4 * (1 + $R$14) * $B$41</f>
        <v>236.60793173141701</v>
      </c>
      <c r="I4" s="20">
        <f t="shared" si="2"/>
        <v>48.595408763949649</v>
      </c>
      <c r="J4" s="20">
        <f t="shared" si="3"/>
        <v>319.35579623303454</v>
      </c>
      <c r="K4" s="20">
        <v>418</v>
      </c>
      <c r="L4" s="20">
        <f t="shared" si="4"/>
        <v>98.644203766965461</v>
      </c>
      <c r="M4" s="21">
        <f t="shared" si="9"/>
        <v>319.35579623303454</v>
      </c>
      <c r="N4" s="24">
        <f t="shared" si="5"/>
        <v>306.58156438371316</v>
      </c>
      <c r="O4" s="23">
        <f t="shared" si="6"/>
        <v>42</v>
      </c>
      <c r="P4" s="25">
        <f t="shared" si="7"/>
        <v>56</v>
      </c>
      <c r="Q4" s="22">
        <f t="shared" si="8"/>
        <v>448</v>
      </c>
    </row>
    <row r="5" spans="1:23" hidden="1" x14ac:dyDescent="0.35">
      <c r="A5" s="1">
        <f t="shared" si="0"/>
        <v>45898</v>
      </c>
      <c r="B5" s="1" t="str">
        <f t="shared" si="1"/>
        <v>יום שישי</v>
      </c>
      <c r="C5" s="20">
        <f>AVERAGEIFS('אוגוסט 24'!$C:$C,'אוגוסט 24'!$B:$B,$B5)</f>
        <v>0</v>
      </c>
      <c r="D5" s="20">
        <v>0</v>
      </c>
      <c r="E5" t="s">
        <v>5</v>
      </c>
      <c r="G5" s="20">
        <f xml:space="preserve"> D5 * (1 + $S$14) * $A$41</f>
        <v>0</v>
      </c>
      <c r="H5" s="21">
        <f xml:space="preserve"> C5 * (1 + $R$14) * $A$41</f>
        <v>0</v>
      </c>
      <c r="I5" s="20">
        <f t="shared" si="2"/>
        <v>0</v>
      </c>
      <c r="J5" s="20">
        <f t="shared" si="3"/>
        <v>0</v>
      </c>
      <c r="K5" s="20"/>
      <c r="L5" s="20">
        <f t="shared" si="4"/>
        <v>0</v>
      </c>
      <c r="M5" s="21">
        <f t="shared" si="9"/>
        <v>0</v>
      </c>
      <c r="N5" s="24">
        <f t="shared" si="5"/>
        <v>0</v>
      </c>
      <c r="O5" s="23">
        <f t="shared" si="6"/>
        <v>0</v>
      </c>
      <c r="P5" s="25">
        <f t="shared" si="7"/>
        <v>0</v>
      </c>
      <c r="Q5" s="22">
        <f t="shared" si="8"/>
        <v>0</v>
      </c>
    </row>
    <row r="6" spans="1:23" hidden="1" x14ac:dyDescent="0.35">
      <c r="A6" s="1">
        <f t="shared" si="0"/>
        <v>45899</v>
      </c>
      <c r="B6" s="1" t="str">
        <f t="shared" si="1"/>
        <v>שבת</v>
      </c>
      <c r="C6" s="20">
        <f>AVERAGEIFS('אוגוסט 24'!$C:$C,'אוגוסט 24'!$B:$B,$B6)</f>
        <v>0</v>
      </c>
      <c r="D6" s="20">
        <v>0</v>
      </c>
      <c r="E6" t="s">
        <v>5</v>
      </c>
      <c r="G6" s="20">
        <f xml:space="preserve"> D6 * (1 + $S$14) * $A$41</f>
        <v>0</v>
      </c>
      <c r="H6" s="21">
        <f xml:space="preserve"> C6 * (1 + $R$14) * $A$41</f>
        <v>0</v>
      </c>
      <c r="I6" s="20">
        <f t="shared" si="2"/>
        <v>0</v>
      </c>
      <c r="J6" s="20">
        <f t="shared" si="3"/>
        <v>0</v>
      </c>
      <c r="K6" s="20"/>
      <c r="L6" s="20">
        <f t="shared" si="4"/>
        <v>0</v>
      </c>
      <c r="M6" s="21">
        <f t="shared" si="9"/>
        <v>0</v>
      </c>
      <c r="N6" s="24">
        <f t="shared" si="5"/>
        <v>0</v>
      </c>
      <c r="O6" s="23">
        <f t="shared" si="6"/>
        <v>0</v>
      </c>
      <c r="P6" s="25">
        <f t="shared" si="7"/>
        <v>0</v>
      </c>
      <c r="Q6" s="22">
        <f t="shared" si="8"/>
        <v>0</v>
      </c>
    </row>
    <row r="7" spans="1:23" ht="14.6" hidden="1" thickBot="1" x14ac:dyDescent="0.4">
      <c r="A7" s="10">
        <f t="shared" si="0"/>
        <v>45900</v>
      </c>
      <c r="B7" s="10" t="str">
        <f t="shared" si="1"/>
        <v>יום ראשון</v>
      </c>
      <c r="C7" s="26">
        <f>AVERAGEIFS('אוגוסט 24'!$C:$C,'אוגוסט 24'!$B:$B,$B7)</f>
        <v>303</v>
      </c>
      <c r="D7" s="26">
        <f>AVERAGEIFS('אוגוסט 24'!$G:$G,'אוגוסט 24'!$B:$B,$B7)</f>
        <v>288</v>
      </c>
      <c r="E7" s="11" t="s">
        <v>6</v>
      </c>
      <c r="F7" s="11">
        <v>8</v>
      </c>
      <c r="G7" s="26">
        <f xml:space="preserve"> D7 * (1 + $S$14) * $C$41</f>
        <v>349.85589447650455</v>
      </c>
      <c r="H7" s="27">
        <f xml:space="preserve"> C7 * (1 + $R$14) * $A$41</f>
        <v>312.66225016842577</v>
      </c>
      <c r="I7" s="26">
        <f t="shared" si="2"/>
        <v>62.791275930287888</v>
      </c>
      <c r="J7" s="26">
        <f t="shared" si="3"/>
        <v>412.64717040679244</v>
      </c>
      <c r="K7" s="26">
        <v>418</v>
      </c>
      <c r="L7" s="26">
        <f t="shared" si="4"/>
        <v>5.3528295932075594</v>
      </c>
      <c r="M7" s="27">
        <f t="shared" si="9"/>
        <v>412.64717040679244</v>
      </c>
      <c r="N7" s="28">
        <f t="shared" si="5"/>
        <v>396.14128359052074</v>
      </c>
      <c r="O7" s="29">
        <f t="shared" si="6"/>
        <v>54</v>
      </c>
      <c r="P7" s="30">
        <f t="shared" si="7"/>
        <v>56</v>
      </c>
      <c r="Q7" s="31">
        <f t="shared" si="8"/>
        <v>448</v>
      </c>
    </row>
    <row r="8" spans="1:23" x14ac:dyDescent="0.35">
      <c r="A8" s="1">
        <f t="shared" si="0"/>
        <v>45901</v>
      </c>
      <c r="B8" s="32" t="str">
        <f t="shared" ref="B8:B37" si="10">TEXT(A8,"dddd")</f>
        <v>יום שני</v>
      </c>
      <c r="C8" s="20">
        <f>AVERAGEIFS('ספט 24'!$C:$C,'ספט 24'!$B:$B,$B8)*$F$41</f>
        <v>402.38000000000005</v>
      </c>
      <c r="D8" s="20">
        <f>AVERAGEIFS('ספט 24'!$G:$G,'ספט 24'!$B:$B,$B8)</f>
        <v>330.6</v>
      </c>
      <c r="E8" t="s">
        <v>39</v>
      </c>
      <c r="F8">
        <v>10</v>
      </c>
      <c r="G8" s="20">
        <f xml:space="preserve"> D8  * $C$41</f>
        <v>446.31000000000006</v>
      </c>
      <c r="H8" s="21">
        <f xml:space="preserve"> C8  * $A$41</f>
        <v>402.38000000000005</v>
      </c>
      <c r="I8" s="20">
        <f xml:space="preserve"> G8 * $G$41</f>
        <v>58.020300000000013</v>
      </c>
      <c r="J8" s="20">
        <f t="shared" si="3"/>
        <v>504.33030000000008</v>
      </c>
      <c r="K8" s="20">
        <v>566</v>
      </c>
      <c r="L8" s="20">
        <f t="shared" si="4"/>
        <v>61.669699999999921</v>
      </c>
      <c r="M8" s="21">
        <f t="shared" si="9"/>
        <v>504.33030000000008</v>
      </c>
      <c r="N8" s="24">
        <f t="shared" si="5"/>
        <v>484.15708800000004</v>
      </c>
      <c r="O8" s="23">
        <f>ROUNDUP((N8/$D$41)*7, 0)</f>
        <v>61</v>
      </c>
      <c r="P8" s="25">
        <f t="shared" si="7"/>
        <v>70</v>
      </c>
      <c r="Q8" s="22">
        <f t="shared" si="8"/>
        <v>560</v>
      </c>
      <c r="V8" s="12">
        <v>290</v>
      </c>
      <c r="W8" s="12">
        <v>423</v>
      </c>
    </row>
    <row r="9" spans="1:23" x14ac:dyDescent="0.35">
      <c r="A9" s="1">
        <f t="shared" ref="A9:A17" si="11">DATE(2025,8,25) + ROW(A9) - 1</f>
        <v>45902</v>
      </c>
      <c r="B9" s="1" t="str">
        <f t="shared" si="10"/>
        <v>יום שלישי</v>
      </c>
      <c r="C9" s="20">
        <f>AVERAGEIFS('ספט 24'!$C:$C,'ספט 24'!$B:$B,$B9)</f>
        <v>222.75</v>
      </c>
      <c r="D9" s="20">
        <f>AVERAGEIFS('ספט 24'!$G:$G,'ספט 24'!$B:$B,$B9)</f>
        <v>286.5</v>
      </c>
      <c r="F9">
        <v>10</v>
      </c>
      <c r="G9" s="20">
        <f xml:space="preserve"> D9  * $A$41</f>
        <v>286.5</v>
      </c>
      <c r="H9" s="21">
        <f xml:space="preserve"> C9  * $A$41</f>
        <v>222.75</v>
      </c>
      <c r="I9" s="20">
        <f xml:space="preserve"> G9 * $G$41</f>
        <v>37.245000000000005</v>
      </c>
      <c r="J9" s="20">
        <f t="shared" si="3"/>
        <v>323.745</v>
      </c>
      <c r="K9" s="20">
        <v>566</v>
      </c>
      <c r="L9" s="20">
        <f t="shared" si="4"/>
        <v>242.255</v>
      </c>
      <c r="M9" s="21">
        <f t="shared" si="9"/>
        <v>323.745</v>
      </c>
      <c r="N9" s="24">
        <f t="shared" si="5"/>
        <v>310.79519999999997</v>
      </c>
      <c r="O9" s="23">
        <f>ROUNDUP((N9/$D$41)*7, 0)</f>
        <v>39</v>
      </c>
      <c r="P9" s="25">
        <f t="shared" si="7"/>
        <v>70</v>
      </c>
      <c r="Q9" s="22">
        <f t="shared" si="8"/>
        <v>560</v>
      </c>
      <c r="V9" s="12">
        <v>213</v>
      </c>
      <c r="W9" s="12">
        <v>275</v>
      </c>
    </row>
    <row r="10" spans="1:23" x14ac:dyDescent="0.35">
      <c r="A10" s="1">
        <f t="shared" si="11"/>
        <v>45903</v>
      </c>
      <c r="B10" s="1" t="str">
        <f t="shared" si="10"/>
        <v>יום רביעי</v>
      </c>
      <c r="C10" s="20">
        <f>AVERAGEIFS('ספט 24'!$C:$C,'ספט 24'!$B:$B,$B10)</f>
        <v>250.75</v>
      </c>
      <c r="D10" s="20">
        <f>AVERAGEIFS('ספט 24'!$G:$G,'ספט 24'!$B:$B,$B10)</f>
        <v>275.5</v>
      </c>
      <c r="F10">
        <v>10</v>
      </c>
      <c r="G10" s="20">
        <f xml:space="preserve"> D10  * $A$41</f>
        <v>275.5</v>
      </c>
      <c r="H10" s="21">
        <f xml:space="preserve"> C10  * $A$41</f>
        <v>250.75</v>
      </c>
      <c r="I10" s="20">
        <f xml:space="preserve"> G10 * $G$41</f>
        <v>35.814999999999998</v>
      </c>
      <c r="J10" s="20">
        <f t="shared" si="3"/>
        <v>311.315</v>
      </c>
      <c r="K10" s="20">
        <v>566</v>
      </c>
      <c r="L10" s="20">
        <f t="shared" si="4"/>
        <v>254.685</v>
      </c>
      <c r="M10" s="21">
        <f t="shared" si="9"/>
        <v>311.315</v>
      </c>
      <c r="N10" s="24">
        <f t="shared" si="5"/>
        <v>298.86239999999998</v>
      </c>
      <c r="O10" s="23">
        <f>ROUNDUP((N10/$D$41)*7, 0)</f>
        <v>38</v>
      </c>
      <c r="P10" s="25">
        <f t="shared" si="7"/>
        <v>70</v>
      </c>
      <c r="Q10" s="22">
        <f t="shared" si="8"/>
        <v>560</v>
      </c>
      <c r="V10" s="12">
        <v>175</v>
      </c>
      <c r="W10" s="12">
        <v>196</v>
      </c>
    </row>
    <row r="11" spans="1:23" x14ac:dyDescent="0.35">
      <c r="A11" s="1">
        <f t="shared" si="11"/>
        <v>45904</v>
      </c>
      <c r="B11" s="1" t="str">
        <f t="shared" si="10"/>
        <v>יום חמישי</v>
      </c>
      <c r="C11" s="20">
        <f>AVERAGEIFS('ספט 24'!$C7:$C31,'ספט 24'!$B7:$B31,$B11)</f>
        <v>301.66666666666669</v>
      </c>
      <c r="D11" s="20">
        <f>AVERAGEIFS('ספט 24'!$G7:$G31,'ספט 24'!$B7:$B31,$B11)</f>
        <v>272.66666666666669</v>
      </c>
      <c r="F11">
        <v>8</v>
      </c>
      <c r="G11" s="20">
        <f xml:space="preserve"> D11  * $A$41</f>
        <v>272.66666666666669</v>
      </c>
      <c r="H11" s="21">
        <f xml:space="preserve"> C11  * $A$41*$J$41</f>
        <v>301.66666666666669</v>
      </c>
      <c r="I11" s="20">
        <f xml:space="preserve"> G11 * $G$41</f>
        <v>35.446666666666673</v>
      </c>
      <c r="J11" s="20">
        <f t="shared" si="3"/>
        <v>308.11333333333334</v>
      </c>
      <c r="K11" s="20">
        <v>566</v>
      </c>
      <c r="L11" s="20">
        <f t="shared" si="4"/>
        <v>257.88666666666666</v>
      </c>
      <c r="M11" s="21">
        <f>(J11+MAX(0, -L11))*$I$41</f>
        <v>308.11333333333334</v>
      </c>
      <c r="N11" s="24">
        <f t="shared" si="5"/>
        <v>295.78879999999998</v>
      </c>
      <c r="O11" s="23">
        <f>ROUNDUP((N11/$D$41)*7, 0)</f>
        <v>37</v>
      </c>
      <c r="P11" s="25">
        <f t="shared" si="7"/>
        <v>56</v>
      </c>
      <c r="Q11" s="22">
        <f t="shared" si="8"/>
        <v>448</v>
      </c>
      <c r="V11" s="12">
        <v>197</v>
      </c>
      <c r="W11" s="12">
        <v>213</v>
      </c>
    </row>
    <row r="12" spans="1:23" x14ac:dyDescent="0.35">
      <c r="A12" s="1">
        <f t="shared" si="11"/>
        <v>45905</v>
      </c>
      <c r="B12" s="1" t="str">
        <f t="shared" si="10"/>
        <v>יום שישי</v>
      </c>
      <c r="C12" s="20">
        <f>AVERAGEIFS('אוגוסט 24'!$C:$C,'אוגוסט 24'!$B:$B,$B12)</f>
        <v>0</v>
      </c>
      <c r="D12" s="20">
        <v>0</v>
      </c>
      <c r="G12" s="20">
        <f xml:space="preserve"> D12  * $A$41</f>
        <v>0</v>
      </c>
      <c r="H12" s="21">
        <f t="shared" ref="H12:H37" si="12" xml:space="preserve"> C12  * $A$41*$J$41</f>
        <v>0</v>
      </c>
      <c r="I12">
        <f t="shared" si="2"/>
        <v>0</v>
      </c>
      <c r="J12">
        <f t="shared" si="3"/>
        <v>0</v>
      </c>
      <c r="L12">
        <f t="shared" si="4"/>
        <v>0</v>
      </c>
      <c r="M12" s="21">
        <f t="shared" ref="M12:M37" si="13">(J12+MAX(0, -L12))*$I$41</f>
        <v>0</v>
      </c>
      <c r="N12" s="24">
        <f t="shared" si="5"/>
        <v>0</v>
      </c>
      <c r="O12" s="23">
        <f t="shared" si="6"/>
        <v>0</v>
      </c>
      <c r="P12" s="25"/>
      <c r="Q12" s="22"/>
      <c r="V12" s="12"/>
      <c r="W12" s="12"/>
    </row>
    <row r="13" spans="1:23" x14ac:dyDescent="0.35">
      <c r="A13" s="1">
        <f t="shared" si="11"/>
        <v>45906</v>
      </c>
      <c r="B13" s="1" t="str">
        <f t="shared" si="10"/>
        <v>שבת</v>
      </c>
      <c r="C13" s="20">
        <f>AVERAGEIFS('אוגוסט 24'!$C:$C,'אוגוסט 24'!$B:$B,$B13)</f>
        <v>0</v>
      </c>
      <c r="D13" s="20">
        <v>0</v>
      </c>
      <c r="G13" s="20">
        <f xml:space="preserve"> D13  * $A$41</f>
        <v>0</v>
      </c>
      <c r="H13" s="21">
        <f t="shared" si="12"/>
        <v>0</v>
      </c>
      <c r="I13">
        <f xml:space="preserve"> G13 * $T$14</f>
        <v>0</v>
      </c>
      <c r="J13">
        <f>G13+I13</f>
        <v>0</v>
      </c>
      <c r="L13">
        <f t="shared" ref="L13:L29" si="14">K13-J13</f>
        <v>0</v>
      </c>
      <c r="M13" s="21">
        <f t="shared" si="13"/>
        <v>0</v>
      </c>
      <c r="N13" s="24">
        <f t="shared" ref="N13:N37" si="15">M13*0.96</f>
        <v>0</v>
      </c>
      <c r="O13" s="23">
        <f t="shared" ref="O13:O37" si="16">ROUNDUP((N13/$E$41)*7, 0)</f>
        <v>0</v>
      </c>
      <c r="P13" s="25">
        <f t="shared" ref="P13:P37" si="17">7*$F13</f>
        <v>0</v>
      </c>
      <c r="Q13" s="22">
        <f t="shared" ref="Q13:Q37" si="18">8*$P13</f>
        <v>0</v>
      </c>
      <c r="V13" s="12"/>
      <c r="W13" s="12"/>
    </row>
    <row r="14" spans="1:23" x14ac:dyDescent="0.35">
      <c r="A14" s="1">
        <f t="shared" si="11"/>
        <v>45907</v>
      </c>
      <c r="B14" s="1" t="str">
        <f t="shared" si="10"/>
        <v>יום ראשון</v>
      </c>
      <c r="C14" s="20">
        <f>AVERAGEIFS('ספט 24'!$C$7:$C$31,'ספט 24'!$B$7:$B$31,$B14)</f>
        <v>366.5</v>
      </c>
      <c r="D14" s="20">
        <f>AVERAGEIFS('ספט 24'!$G$7:$G$31,'ספט 24'!$B$7:$B$31,$B14)</f>
        <v>393.25</v>
      </c>
      <c r="E14" s="3" t="s">
        <v>65</v>
      </c>
      <c r="F14">
        <v>7</v>
      </c>
      <c r="G14">
        <f xml:space="preserve"> D14  * $B$41</f>
        <v>401.11500000000001</v>
      </c>
      <c r="H14" s="21">
        <f t="shared" si="12"/>
        <v>366.5</v>
      </c>
      <c r="I14">
        <f xml:space="preserve"> G14 * $G$41</f>
        <v>52.144950000000001</v>
      </c>
      <c r="J14">
        <f>G14+I14</f>
        <v>453.25995</v>
      </c>
      <c r="K14">
        <v>356</v>
      </c>
      <c r="L14">
        <f t="shared" si="14"/>
        <v>-97.259950000000003</v>
      </c>
      <c r="M14" s="21">
        <f t="shared" si="13"/>
        <v>550.51990000000001</v>
      </c>
      <c r="N14" s="24">
        <f t="shared" si="15"/>
        <v>528.49910399999999</v>
      </c>
      <c r="O14" s="23">
        <f t="shared" si="16"/>
        <v>72</v>
      </c>
      <c r="P14" s="25">
        <f t="shared" si="17"/>
        <v>49</v>
      </c>
      <c r="Q14" s="22">
        <f t="shared" si="18"/>
        <v>392</v>
      </c>
      <c r="R14" s="8">
        <v>3.1888614417246774E-2</v>
      </c>
      <c r="S14" s="8">
        <v>-0.10016488046166527</v>
      </c>
      <c r="T14" s="8">
        <v>0.17947754181544823</v>
      </c>
      <c r="V14" s="12">
        <v>381</v>
      </c>
      <c r="W14" s="12">
        <v>436</v>
      </c>
    </row>
    <row r="15" spans="1:23" x14ac:dyDescent="0.35">
      <c r="A15" s="1">
        <f t="shared" si="11"/>
        <v>45908</v>
      </c>
      <c r="B15" s="1" t="str">
        <f t="shared" si="10"/>
        <v>יום שני</v>
      </c>
      <c r="C15" s="20">
        <f>AVERAGEIFS('ספט 24'!$C$7:$C$31,'ספט 24'!$B$7:$B$31,$B15)</f>
        <v>277.75</v>
      </c>
      <c r="D15" s="20">
        <f>AVERAGEIFS('ספט 24'!$G$7:$G$31,'ספט 24'!$B$7:$B$31,$B15)</f>
        <v>332.25</v>
      </c>
      <c r="E15" t="s">
        <v>4</v>
      </c>
      <c r="F15">
        <v>8</v>
      </c>
      <c r="G15">
        <f xml:space="preserve"> D15  * $A$41</f>
        <v>332.25</v>
      </c>
      <c r="H15" s="21">
        <f t="shared" si="12"/>
        <v>277.75</v>
      </c>
      <c r="I15">
        <f xml:space="preserve"> G15 * $G$41</f>
        <v>43.192500000000003</v>
      </c>
      <c r="J15">
        <f t="shared" ref="J15:J30" si="19">G15+I15</f>
        <v>375.4425</v>
      </c>
      <c r="K15">
        <v>418</v>
      </c>
      <c r="L15">
        <f t="shared" si="14"/>
        <v>42.557500000000005</v>
      </c>
      <c r="M15" s="21">
        <f t="shared" si="13"/>
        <v>375.4425</v>
      </c>
      <c r="N15" s="24">
        <f t="shared" si="15"/>
        <v>360.4248</v>
      </c>
      <c r="O15" s="23">
        <f t="shared" si="16"/>
        <v>49</v>
      </c>
      <c r="P15" s="25">
        <f t="shared" si="17"/>
        <v>56</v>
      </c>
      <c r="Q15" s="22">
        <f t="shared" si="18"/>
        <v>448</v>
      </c>
      <c r="V15" s="12">
        <v>353</v>
      </c>
      <c r="W15" s="12">
        <v>359</v>
      </c>
    </row>
    <row r="16" spans="1:23" x14ac:dyDescent="0.35">
      <c r="A16" s="1">
        <f t="shared" si="11"/>
        <v>45909</v>
      </c>
      <c r="B16" s="1" t="str">
        <f t="shared" si="10"/>
        <v>יום שלישי</v>
      </c>
      <c r="C16" s="20">
        <f>AVERAGEIFS('ספט 24'!$C$7:$C$31,'ספט 24'!$B$7:$B$31,$B16)</f>
        <v>236</v>
      </c>
      <c r="D16" s="20">
        <f>AVERAGEIFS('ספט 24'!$G$7:$G$31,'ספט 24'!$B$7:$B$31,$B16)</f>
        <v>292.33333333333331</v>
      </c>
      <c r="E16" t="s">
        <v>4</v>
      </c>
      <c r="F16">
        <v>8</v>
      </c>
      <c r="G16">
        <f t="shared" ref="G16:G34" si="20" xml:space="preserve"> D16  * $A$41</f>
        <v>292.33333333333331</v>
      </c>
      <c r="H16" s="21">
        <f t="shared" si="12"/>
        <v>236</v>
      </c>
      <c r="I16">
        <f xml:space="preserve"> G16 * $G$41</f>
        <v>38.00333333333333</v>
      </c>
      <c r="J16">
        <f t="shared" si="19"/>
        <v>330.33666666666664</v>
      </c>
      <c r="K16">
        <v>418</v>
      </c>
      <c r="L16">
        <f t="shared" si="14"/>
        <v>87.663333333333355</v>
      </c>
      <c r="M16" s="21">
        <f t="shared" si="13"/>
        <v>330.33666666666664</v>
      </c>
      <c r="N16" s="24">
        <f t="shared" si="15"/>
        <v>317.12319999999994</v>
      </c>
      <c r="O16" s="23">
        <f t="shared" si="16"/>
        <v>43</v>
      </c>
      <c r="P16" s="25">
        <f t="shared" si="17"/>
        <v>56</v>
      </c>
      <c r="Q16" s="22">
        <f t="shared" si="18"/>
        <v>448</v>
      </c>
      <c r="V16" s="12">
        <v>274</v>
      </c>
      <c r="W16" s="12">
        <v>340</v>
      </c>
    </row>
    <row r="17" spans="1:23" x14ac:dyDescent="0.35">
      <c r="A17" s="1">
        <f t="shared" si="11"/>
        <v>45910</v>
      </c>
      <c r="B17" s="1" t="str">
        <f t="shared" si="10"/>
        <v>יום רביעי</v>
      </c>
      <c r="C17" s="20">
        <f>AVERAGEIFS('ספט 24'!$C$7:$C$31,'ספט 24'!$B$7:$B$31,$B17)</f>
        <v>274</v>
      </c>
      <c r="D17" s="20">
        <f>AVERAGEIFS('ספט 24'!$G$7:$G$31,'ספט 24'!$B$7:$B$31,$B17)</f>
        <v>282</v>
      </c>
      <c r="E17" t="s">
        <v>4</v>
      </c>
      <c r="F17">
        <v>8</v>
      </c>
      <c r="G17">
        <f t="shared" si="20"/>
        <v>282</v>
      </c>
      <c r="H17" s="21">
        <f t="shared" si="12"/>
        <v>274</v>
      </c>
      <c r="I17">
        <f xml:space="preserve"> G17 * $G$41</f>
        <v>36.660000000000004</v>
      </c>
      <c r="J17">
        <f t="shared" si="19"/>
        <v>318.66000000000003</v>
      </c>
      <c r="K17">
        <v>418</v>
      </c>
      <c r="L17">
        <f t="shared" si="14"/>
        <v>99.339999999999975</v>
      </c>
      <c r="M17" s="21">
        <f t="shared" si="13"/>
        <v>318.66000000000003</v>
      </c>
      <c r="N17" s="24">
        <f t="shared" si="15"/>
        <v>305.91360000000003</v>
      </c>
      <c r="O17" s="23">
        <f t="shared" si="16"/>
        <v>42</v>
      </c>
      <c r="P17" s="25">
        <f t="shared" si="17"/>
        <v>56</v>
      </c>
      <c r="Q17" s="22">
        <f t="shared" si="18"/>
        <v>448</v>
      </c>
      <c r="V17" s="12">
        <v>203</v>
      </c>
      <c r="W17" s="12">
        <v>304</v>
      </c>
    </row>
    <row r="18" spans="1:23" x14ac:dyDescent="0.35">
      <c r="A18" s="1">
        <f t="shared" ref="A18:A37" si="21">DATE(2025,8,25) + ROW(A18) - 1</f>
        <v>45911</v>
      </c>
      <c r="B18" s="1" t="str">
        <f t="shared" si="10"/>
        <v>יום חמישי</v>
      </c>
      <c r="C18" s="20">
        <f>AVERAGEIFS('ספט 24'!$C$7:$C$31,'ספט 24'!$B$7:$B$31,$B18)</f>
        <v>301.66666666666669</v>
      </c>
      <c r="D18" s="20">
        <f>AVERAGEIFS('ספט 24'!$G$7:$G$31,'ספט 24'!$B$7:$B$31,$B18)</f>
        <v>272.66666666666669</v>
      </c>
      <c r="E18" t="s">
        <v>4</v>
      </c>
      <c r="F18">
        <v>8</v>
      </c>
      <c r="G18">
        <f t="shared" si="20"/>
        <v>272.66666666666669</v>
      </c>
      <c r="H18" s="21">
        <f t="shared" si="12"/>
        <v>301.66666666666669</v>
      </c>
      <c r="I18">
        <f xml:space="preserve"> G18 * $G$41</f>
        <v>35.446666666666673</v>
      </c>
      <c r="J18">
        <f t="shared" si="19"/>
        <v>308.11333333333334</v>
      </c>
      <c r="K18">
        <v>418</v>
      </c>
      <c r="L18">
        <f t="shared" si="14"/>
        <v>109.88666666666666</v>
      </c>
      <c r="M18" s="21">
        <f t="shared" si="13"/>
        <v>308.11333333333334</v>
      </c>
      <c r="N18" s="24">
        <f t="shared" si="15"/>
        <v>295.78879999999998</v>
      </c>
      <c r="O18" s="23">
        <f t="shared" si="16"/>
        <v>40</v>
      </c>
      <c r="P18" s="25">
        <f t="shared" si="17"/>
        <v>56</v>
      </c>
      <c r="Q18" s="22">
        <f t="shared" si="18"/>
        <v>448</v>
      </c>
    </row>
    <row r="19" spans="1:23" x14ac:dyDescent="0.35">
      <c r="A19" s="1">
        <f t="shared" si="21"/>
        <v>45912</v>
      </c>
      <c r="B19" s="1" t="str">
        <f t="shared" si="10"/>
        <v>יום שישי</v>
      </c>
      <c r="C19" s="20">
        <f>AVERAGEIFS('ספט 24'!$C$7:$C$31,'ספט 24'!$B$7:$B$31,$B19)</f>
        <v>0</v>
      </c>
      <c r="D19" s="20">
        <v>0</v>
      </c>
      <c r="E19" t="s">
        <v>5</v>
      </c>
      <c r="G19">
        <f t="shared" si="20"/>
        <v>0</v>
      </c>
      <c r="H19" s="21">
        <f t="shared" si="12"/>
        <v>0</v>
      </c>
      <c r="I19">
        <f t="shared" ref="I19:I37" si="22" xml:space="preserve"> G19 * $G$41</f>
        <v>0</v>
      </c>
      <c r="J19">
        <f t="shared" si="19"/>
        <v>0</v>
      </c>
      <c r="K19">
        <v>0</v>
      </c>
      <c r="L19">
        <f t="shared" si="14"/>
        <v>0</v>
      </c>
      <c r="M19" s="21">
        <f t="shared" si="13"/>
        <v>0</v>
      </c>
      <c r="N19" s="24">
        <f t="shared" si="15"/>
        <v>0</v>
      </c>
      <c r="O19" s="23">
        <f t="shared" si="16"/>
        <v>0</v>
      </c>
      <c r="P19" s="25">
        <f t="shared" si="17"/>
        <v>0</v>
      </c>
      <c r="Q19" s="22">
        <f t="shared" si="18"/>
        <v>0</v>
      </c>
    </row>
    <row r="20" spans="1:23" x14ac:dyDescent="0.35">
      <c r="A20" s="1">
        <f t="shared" si="21"/>
        <v>45913</v>
      </c>
      <c r="B20" s="1" t="str">
        <f t="shared" si="10"/>
        <v>שבת</v>
      </c>
      <c r="C20" s="20">
        <f>AVERAGEIFS('ספט 24'!$C$7:$C$31,'ספט 24'!$B$7:$B$31,$B20)</f>
        <v>0</v>
      </c>
      <c r="D20" s="20">
        <v>0</v>
      </c>
      <c r="E20" t="s">
        <v>5</v>
      </c>
      <c r="G20">
        <f t="shared" si="20"/>
        <v>0</v>
      </c>
      <c r="H20" s="21">
        <f t="shared" si="12"/>
        <v>0</v>
      </c>
      <c r="I20">
        <f t="shared" si="22"/>
        <v>0</v>
      </c>
      <c r="J20">
        <f t="shared" si="19"/>
        <v>0</v>
      </c>
      <c r="K20">
        <v>0</v>
      </c>
      <c r="L20">
        <f t="shared" si="14"/>
        <v>0</v>
      </c>
      <c r="M20" s="21">
        <f t="shared" si="13"/>
        <v>0</v>
      </c>
      <c r="N20" s="24">
        <f t="shared" si="15"/>
        <v>0</v>
      </c>
      <c r="O20" s="23">
        <f t="shared" si="16"/>
        <v>0</v>
      </c>
      <c r="P20" s="25">
        <f t="shared" si="17"/>
        <v>0</v>
      </c>
      <c r="Q20" s="22">
        <f t="shared" si="18"/>
        <v>0</v>
      </c>
    </row>
    <row r="21" spans="1:23" x14ac:dyDescent="0.35">
      <c r="A21" s="1">
        <f t="shared" si="21"/>
        <v>45914</v>
      </c>
      <c r="B21" s="1" t="str">
        <f t="shared" si="10"/>
        <v>יום ראשון</v>
      </c>
      <c r="C21" s="20">
        <f>AVERAGEIFS('ספט 24'!$C$7:$C$31,'ספט 24'!$B$7:$B$31,$B21)</f>
        <v>366.5</v>
      </c>
      <c r="D21" s="20">
        <f>AVERAGEIFS('ספט 24'!$G$7:$G$31,'ספט 24'!$B$7:$B$31,$B21)</f>
        <v>393.25</v>
      </c>
      <c r="F21">
        <v>8</v>
      </c>
      <c r="G21">
        <f t="shared" si="20"/>
        <v>393.25</v>
      </c>
      <c r="H21" s="21">
        <f t="shared" si="12"/>
        <v>366.5</v>
      </c>
      <c r="I21">
        <f t="shared" si="22"/>
        <v>51.122500000000002</v>
      </c>
      <c r="J21">
        <f t="shared" si="19"/>
        <v>444.3725</v>
      </c>
      <c r="K21">
        <v>418</v>
      </c>
      <c r="L21">
        <f t="shared" si="14"/>
        <v>-26.372500000000002</v>
      </c>
      <c r="M21" s="21">
        <f t="shared" si="13"/>
        <v>470.745</v>
      </c>
      <c r="N21" s="24">
        <f t="shared" si="15"/>
        <v>451.91519999999997</v>
      </c>
      <c r="O21" s="23">
        <f t="shared" si="16"/>
        <v>61</v>
      </c>
      <c r="P21" s="25">
        <f t="shared" si="17"/>
        <v>56</v>
      </c>
      <c r="Q21" s="22">
        <f t="shared" si="18"/>
        <v>448</v>
      </c>
    </row>
    <row r="22" spans="1:23" x14ac:dyDescent="0.35">
      <c r="A22" s="1">
        <f t="shared" si="21"/>
        <v>45915</v>
      </c>
      <c r="B22" s="1" t="str">
        <f t="shared" si="10"/>
        <v>יום שני</v>
      </c>
      <c r="C22" s="20">
        <f>AVERAGEIFS('ספט 24'!$C$7:$C$31,'ספט 24'!$B$7:$B$31,$B22)</f>
        <v>277.75</v>
      </c>
      <c r="D22" s="20">
        <f>AVERAGEIFS('ספט 24'!$G$7:$G$31,'ספט 24'!$B$7:$B$31,$B22)</f>
        <v>332.25</v>
      </c>
      <c r="F22">
        <v>7</v>
      </c>
      <c r="G22">
        <f t="shared" si="20"/>
        <v>332.25</v>
      </c>
      <c r="H22" s="21">
        <f t="shared" si="12"/>
        <v>277.75</v>
      </c>
      <c r="I22">
        <f t="shared" si="22"/>
        <v>43.192500000000003</v>
      </c>
      <c r="J22">
        <f t="shared" si="19"/>
        <v>375.4425</v>
      </c>
      <c r="K22">
        <v>368</v>
      </c>
      <c r="L22">
        <f t="shared" si="14"/>
        <v>-7.4424999999999955</v>
      </c>
      <c r="M22" s="21">
        <f t="shared" si="13"/>
        <v>382.88499999999999</v>
      </c>
      <c r="N22" s="24">
        <f t="shared" si="15"/>
        <v>367.56959999999998</v>
      </c>
      <c r="O22" s="23">
        <f t="shared" si="16"/>
        <v>50</v>
      </c>
      <c r="P22" s="25">
        <f t="shared" si="17"/>
        <v>49</v>
      </c>
      <c r="Q22" s="22">
        <f t="shared" si="18"/>
        <v>392</v>
      </c>
    </row>
    <row r="23" spans="1:23" x14ac:dyDescent="0.35">
      <c r="A23" s="1">
        <f t="shared" si="21"/>
        <v>45916</v>
      </c>
      <c r="B23" s="1" t="str">
        <f t="shared" si="10"/>
        <v>יום שלישי</v>
      </c>
      <c r="C23" s="20">
        <f>AVERAGEIFS('ספט 24'!$C$7:$C$31,'ספט 24'!$B$7:$B$31,$B23)</f>
        <v>236</v>
      </c>
      <c r="D23" s="20">
        <f>AVERAGEIFS('ספט 24'!$G$7:$G$31,'ספט 24'!$B$7:$B$31,$B23)</f>
        <v>292.33333333333331</v>
      </c>
      <c r="F23">
        <v>7</v>
      </c>
      <c r="G23">
        <f t="shared" si="20"/>
        <v>292.33333333333331</v>
      </c>
      <c r="H23" s="21">
        <f t="shared" si="12"/>
        <v>236</v>
      </c>
      <c r="I23">
        <f t="shared" si="22"/>
        <v>38.00333333333333</v>
      </c>
      <c r="J23">
        <f t="shared" si="19"/>
        <v>330.33666666666664</v>
      </c>
      <c r="K23">
        <v>368</v>
      </c>
      <c r="L23">
        <f t="shared" si="14"/>
        <v>37.663333333333355</v>
      </c>
      <c r="M23" s="21">
        <f t="shared" si="13"/>
        <v>330.33666666666664</v>
      </c>
      <c r="N23" s="24">
        <f t="shared" si="15"/>
        <v>317.12319999999994</v>
      </c>
      <c r="O23" s="23">
        <f t="shared" si="16"/>
        <v>43</v>
      </c>
      <c r="P23" s="25">
        <f t="shared" si="17"/>
        <v>49</v>
      </c>
      <c r="Q23" s="22">
        <f t="shared" si="18"/>
        <v>392</v>
      </c>
    </row>
    <row r="24" spans="1:23" x14ac:dyDescent="0.35">
      <c r="A24" s="1">
        <f t="shared" si="21"/>
        <v>45917</v>
      </c>
      <c r="B24" s="1" t="str">
        <f t="shared" si="10"/>
        <v>יום רביעי</v>
      </c>
      <c r="C24" s="20">
        <f>AVERAGEIFS('ספט 24'!$C$7:$C$31,'ספט 24'!$B$7:$B$31,$B24)</f>
        <v>274</v>
      </c>
      <c r="D24" s="20">
        <f>AVERAGEIFS('ספט 24'!$G$7:$G$31,'ספט 24'!$B$7:$B$31,$B24)</f>
        <v>282</v>
      </c>
      <c r="F24">
        <v>7</v>
      </c>
      <c r="G24">
        <f t="shared" si="20"/>
        <v>282</v>
      </c>
      <c r="H24" s="21">
        <f t="shared" si="12"/>
        <v>274</v>
      </c>
      <c r="I24">
        <f t="shared" si="22"/>
        <v>36.660000000000004</v>
      </c>
      <c r="J24">
        <f t="shared" si="19"/>
        <v>318.66000000000003</v>
      </c>
      <c r="K24">
        <v>368</v>
      </c>
      <c r="L24">
        <f t="shared" si="14"/>
        <v>49.339999999999975</v>
      </c>
      <c r="M24" s="21">
        <f t="shared" si="13"/>
        <v>318.66000000000003</v>
      </c>
      <c r="N24" s="24">
        <f t="shared" si="15"/>
        <v>305.91360000000003</v>
      </c>
      <c r="O24" s="23">
        <f t="shared" si="16"/>
        <v>42</v>
      </c>
      <c r="P24" s="25">
        <f t="shared" si="17"/>
        <v>49</v>
      </c>
      <c r="Q24" s="22">
        <f t="shared" si="18"/>
        <v>392</v>
      </c>
    </row>
    <row r="25" spans="1:23" x14ac:dyDescent="0.35">
      <c r="A25" s="1">
        <f t="shared" si="21"/>
        <v>45918</v>
      </c>
      <c r="B25" s="1" t="str">
        <f t="shared" si="10"/>
        <v>יום חמישי</v>
      </c>
      <c r="C25" s="20">
        <f>AVERAGEIFS('ספט 24'!$C$7:$C$31,'ספט 24'!$B$7:$B$31,$B25)</f>
        <v>301.66666666666669</v>
      </c>
      <c r="D25" s="20">
        <f>AVERAGEIFS('ספט 24'!$G$7:$G$31,'ספט 24'!$B$7:$B$31,$B25)</f>
        <v>272.66666666666669</v>
      </c>
      <c r="F25">
        <v>7</v>
      </c>
      <c r="G25">
        <f t="shared" si="20"/>
        <v>272.66666666666669</v>
      </c>
      <c r="H25" s="21">
        <f t="shared" si="12"/>
        <v>301.66666666666669</v>
      </c>
      <c r="I25">
        <f t="shared" si="22"/>
        <v>35.446666666666673</v>
      </c>
      <c r="J25">
        <f t="shared" si="19"/>
        <v>308.11333333333334</v>
      </c>
      <c r="K25">
        <v>368</v>
      </c>
      <c r="L25">
        <f t="shared" si="14"/>
        <v>59.886666666666656</v>
      </c>
      <c r="M25" s="21">
        <f t="shared" si="13"/>
        <v>308.11333333333334</v>
      </c>
      <c r="N25" s="24">
        <f t="shared" si="15"/>
        <v>295.78879999999998</v>
      </c>
      <c r="O25" s="23">
        <f t="shared" si="16"/>
        <v>40</v>
      </c>
      <c r="P25" s="25">
        <f t="shared" si="17"/>
        <v>49</v>
      </c>
      <c r="Q25" s="22">
        <f t="shared" si="18"/>
        <v>392</v>
      </c>
    </row>
    <row r="26" spans="1:23" x14ac:dyDescent="0.35">
      <c r="A26" s="1">
        <f t="shared" si="21"/>
        <v>45919</v>
      </c>
      <c r="B26" s="1" t="str">
        <f t="shared" si="10"/>
        <v>יום שישי</v>
      </c>
      <c r="C26" s="20">
        <f>AVERAGEIFS('ספט 24'!$C$7:$C$31,'ספט 24'!$B$7:$B$31,$B26)</f>
        <v>0</v>
      </c>
      <c r="D26" s="20">
        <v>0</v>
      </c>
      <c r="E26" t="s">
        <v>5</v>
      </c>
      <c r="G26">
        <f t="shared" si="20"/>
        <v>0</v>
      </c>
      <c r="H26" s="21">
        <f t="shared" si="12"/>
        <v>0</v>
      </c>
      <c r="I26">
        <f t="shared" si="22"/>
        <v>0</v>
      </c>
      <c r="J26">
        <f t="shared" si="19"/>
        <v>0</v>
      </c>
      <c r="K26">
        <v>0</v>
      </c>
      <c r="L26">
        <f t="shared" si="14"/>
        <v>0</v>
      </c>
      <c r="M26" s="21">
        <f t="shared" si="13"/>
        <v>0</v>
      </c>
      <c r="N26" s="24">
        <f t="shared" si="15"/>
        <v>0</v>
      </c>
      <c r="O26" s="23">
        <f t="shared" si="16"/>
        <v>0</v>
      </c>
      <c r="P26" s="25">
        <f t="shared" si="17"/>
        <v>0</v>
      </c>
      <c r="Q26" s="22">
        <f t="shared" si="18"/>
        <v>0</v>
      </c>
    </row>
    <row r="27" spans="1:23" x14ac:dyDescent="0.35">
      <c r="A27" s="1">
        <f t="shared" si="21"/>
        <v>45920</v>
      </c>
      <c r="B27" s="1" t="str">
        <f t="shared" si="10"/>
        <v>שבת</v>
      </c>
      <c r="C27" s="20">
        <f>AVERAGEIFS('ספט 24'!$C$7:$C$31,'ספט 24'!$B$7:$B$31,$B27)</f>
        <v>0</v>
      </c>
      <c r="D27" s="20">
        <v>0</v>
      </c>
      <c r="E27" t="s">
        <v>5</v>
      </c>
      <c r="G27">
        <f t="shared" si="20"/>
        <v>0</v>
      </c>
      <c r="H27" s="21">
        <f t="shared" si="12"/>
        <v>0</v>
      </c>
      <c r="I27">
        <f t="shared" si="22"/>
        <v>0</v>
      </c>
      <c r="J27">
        <f t="shared" si="19"/>
        <v>0</v>
      </c>
      <c r="K27">
        <v>0</v>
      </c>
      <c r="L27">
        <f t="shared" si="14"/>
        <v>0</v>
      </c>
      <c r="M27" s="21">
        <f t="shared" si="13"/>
        <v>0</v>
      </c>
      <c r="N27" s="24">
        <f t="shared" si="15"/>
        <v>0</v>
      </c>
      <c r="O27" s="23">
        <f t="shared" si="16"/>
        <v>0</v>
      </c>
      <c r="P27" s="25">
        <f t="shared" si="17"/>
        <v>0</v>
      </c>
      <c r="Q27" s="22">
        <f t="shared" si="18"/>
        <v>0</v>
      </c>
    </row>
    <row r="28" spans="1:23" x14ac:dyDescent="0.35">
      <c r="A28" s="1">
        <f t="shared" si="21"/>
        <v>45921</v>
      </c>
      <c r="B28" s="1" t="str">
        <f t="shared" si="10"/>
        <v>יום ראשון</v>
      </c>
      <c r="C28" s="20">
        <f>AVERAGEIFS('ספט 24'!$C$7:$C$31,'ספט 24'!$B$7:$B$31,$B28)</f>
        <v>366.5</v>
      </c>
      <c r="D28" s="20">
        <f>AVERAGEIFS('ספט 24'!$G$7:$G$31,'ספט 24'!$B$7:$B$31,$B28)</f>
        <v>393.25</v>
      </c>
      <c r="F28">
        <v>6</v>
      </c>
      <c r="G28">
        <f t="shared" si="20"/>
        <v>393.25</v>
      </c>
      <c r="H28" s="21">
        <f t="shared" si="12"/>
        <v>366.5</v>
      </c>
      <c r="I28">
        <f t="shared" si="22"/>
        <v>51.122500000000002</v>
      </c>
      <c r="J28">
        <f t="shared" si="19"/>
        <v>444.3725</v>
      </c>
      <c r="K28">
        <v>368</v>
      </c>
      <c r="L28">
        <f t="shared" si="14"/>
        <v>-76.372500000000002</v>
      </c>
      <c r="M28" s="21">
        <f t="shared" si="13"/>
        <v>520.745</v>
      </c>
      <c r="N28" s="24">
        <f t="shared" si="15"/>
        <v>499.91519999999997</v>
      </c>
      <c r="O28" s="23">
        <f t="shared" si="16"/>
        <v>68</v>
      </c>
      <c r="P28" s="25">
        <f t="shared" si="17"/>
        <v>42</v>
      </c>
      <c r="Q28" s="22">
        <f t="shared" si="18"/>
        <v>336</v>
      </c>
    </row>
    <row r="29" spans="1:23" x14ac:dyDescent="0.35">
      <c r="A29" s="1">
        <f t="shared" si="21"/>
        <v>45922</v>
      </c>
      <c r="B29" s="1" t="str">
        <f t="shared" si="10"/>
        <v>יום שני</v>
      </c>
      <c r="C29" s="20">
        <f>AVERAGEIFS('ספט 24'!$C$7:$C$31,'ספט 24'!$B$7:$B$31,$B29)</f>
        <v>277.75</v>
      </c>
      <c r="D29" s="20">
        <f>AVERAGEIFS('ספט 24'!$G$7:$G$31,'ספט 24'!$B$7:$B$31,$B29)</f>
        <v>332.25</v>
      </c>
      <c r="E29" s="34" t="s">
        <v>62</v>
      </c>
      <c r="F29">
        <v>7</v>
      </c>
      <c r="G29">
        <f t="shared" si="20"/>
        <v>332.25</v>
      </c>
      <c r="H29" s="21">
        <f t="shared" si="12"/>
        <v>277.75</v>
      </c>
      <c r="I29">
        <f t="shared" si="22"/>
        <v>43.192500000000003</v>
      </c>
      <c r="J29">
        <f t="shared" si="19"/>
        <v>375.4425</v>
      </c>
      <c r="K29">
        <v>0</v>
      </c>
      <c r="L29">
        <f t="shared" si="14"/>
        <v>-375.4425</v>
      </c>
      <c r="M29" s="21">
        <f t="shared" si="13"/>
        <v>750.88499999999999</v>
      </c>
      <c r="N29" s="24">
        <f t="shared" si="15"/>
        <v>720.84960000000001</v>
      </c>
      <c r="O29" s="23">
        <f t="shared" si="16"/>
        <v>98</v>
      </c>
      <c r="P29" s="25">
        <f t="shared" si="17"/>
        <v>49</v>
      </c>
      <c r="Q29" s="22">
        <f t="shared" si="18"/>
        <v>392</v>
      </c>
    </row>
    <row r="30" spans="1:23" x14ac:dyDescent="0.35">
      <c r="A30" s="1">
        <f t="shared" si="21"/>
        <v>45923</v>
      </c>
      <c r="B30" s="1" t="str">
        <f t="shared" si="10"/>
        <v>יום שלישי</v>
      </c>
      <c r="C30" s="20">
        <f>AVERAGEIFS('ספט 24'!$C$7:$C$31,'ספט 24'!$B$7:$B$31,$B30)</f>
        <v>236</v>
      </c>
      <c r="D30" s="20">
        <f>AVERAGEIFS('ספט 24'!$G$7:$G$31,'ספט 24'!$B$7:$B$31,$B30)</f>
        <v>292.33333333333331</v>
      </c>
      <c r="E30" t="s">
        <v>5</v>
      </c>
      <c r="F30">
        <v>0</v>
      </c>
      <c r="G30">
        <f t="shared" si="20"/>
        <v>292.33333333333331</v>
      </c>
      <c r="H30" s="21">
        <f t="shared" si="12"/>
        <v>236</v>
      </c>
      <c r="I30">
        <f t="shared" si="22"/>
        <v>38.00333333333333</v>
      </c>
      <c r="J30">
        <f t="shared" si="19"/>
        <v>330.33666666666664</v>
      </c>
      <c r="K30">
        <f>H30+J30</f>
        <v>566.33666666666659</v>
      </c>
      <c r="L30">
        <f>I30+K30</f>
        <v>604.33999999999992</v>
      </c>
      <c r="M30" s="21">
        <f t="shared" si="13"/>
        <v>330.33666666666664</v>
      </c>
      <c r="N30" s="24">
        <f t="shared" si="15"/>
        <v>317.12319999999994</v>
      </c>
      <c r="O30" s="23">
        <f t="shared" si="16"/>
        <v>43</v>
      </c>
      <c r="P30" s="25">
        <f t="shared" si="17"/>
        <v>0</v>
      </c>
      <c r="Q30" s="22">
        <f t="shared" si="18"/>
        <v>0</v>
      </c>
    </row>
    <row r="31" spans="1:23" x14ac:dyDescent="0.35">
      <c r="A31" s="1">
        <f t="shared" si="21"/>
        <v>45924</v>
      </c>
      <c r="B31" s="1" t="str">
        <f t="shared" si="10"/>
        <v>יום רביעי</v>
      </c>
      <c r="C31" s="20">
        <f>AVERAGEIFS('ספט 24'!$C$7:$C$31,'ספט 24'!$B$7:$B$31,$B31)</f>
        <v>274</v>
      </c>
      <c r="D31" s="20">
        <f>AVERAGEIFS('ספט 24'!$G$7:$G$31,'ספט 24'!$B$7:$B$31,$B31)</f>
        <v>282</v>
      </c>
      <c r="E31" t="s">
        <v>5</v>
      </c>
      <c r="F31">
        <v>0</v>
      </c>
      <c r="G31">
        <f t="shared" si="20"/>
        <v>282</v>
      </c>
      <c r="H31" s="21">
        <f t="shared" si="12"/>
        <v>274</v>
      </c>
      <c r="I31">
        <f t="shared" si="22"/>
        <v>36.660000000000004</v>
      </c>
      <c r="J31">
        <f t="shared" ref="J31:J37" si="23">G31+I31</f>
        <v>318.66000000000003</v>
      </c>
      <c r="K31">
        <f>H31+J31</f>
        <v>592.66000000000008</v>
      </c>
      <c r="L31">
        <f>I31+K31</f>
        <v>629.32000000000005</v>
      </c>
      <c r="M31" s="21">
        <f t="shared" si="13"/>
        <v>318.66000000000003</v>
      </c>
      <c r="N31" s="24">
        <f t="shared" si="15"/>
        <v>305.91360000000003</v>
      </c>
      <c r="O31" s="23">
        <f t="shared" si="16"/>
        <v>42</v>
      </c>
      <c r="P31" s="25">
        <f t="shared" si="17"/>
        <v>0</v>
      </c>
      <c r="Q31" s="22">
        <f t="shared" si="18"/>
        <v>0</v>
      </c>
    </row>
    <row r="32" spans="1:23" x14ac:dyDescent="0.35">
      <c r="A32" s="1">
        <f t="shared" si="21"/>
        <v>45925</v>
      </c>
      <c r="B32" s="1" t="str">
        <f t="shared" si="10"/>
        <v>יום חמישי</v>
      </c>
      <c r="C32" s="20">
        <f>AVERAGEIFS('ספט 24'!$C$7:$C$31,'ספט 24'!$B$7:$B$31,$B32)</f>
        <v>301.66666666666669</v>
      </c>
      <c r="D32" s="20">
        <f>AVERAGEIFS('ספט 24'!$G$7:$G$31,'ספט 24'!$B$7:$B$31,$B32)</f>
        <v>272.66666666666669</v>
      </c>
      <c r="E32" s="33" t="s">
        <v>64</v>
      </c>
      <c r="F32">
        <v>7</v>
      </c>
      <c r="G32">
        <f xml:space="preserve"> D32  * $H$41</f>
        <v>376.28</v>
      </c>
      <c r="H32" s="21">
        <f t="shared" si="12"/>
        <v>301.66666666666669</v>
      </c>
      <c r="I32">
        <f t="shared" si="22"/>
        <v>48.916399999999996</v>
      </c>
      <c r="J32">
        <f t="shared" si="23"/>
        <v>425.19639999999998</v>
      </c>
      <c r="K32">
        <v>368</v>
      </c>
      <c r="L32">
        <f t="shared" ref="L32:L37" si="24">K32-J32</f>
        <v>-57.196399999999983</v>
      </c>
      <c r="M32" s="21">
        <f t="shared" si="13"/>
        <v>482.39279999999997</v>
      </c>
      <c r="N32" s="24">
        <f t="shared" si="15"/>
        <v>463.09708799999993</v>
      </c>
      <c r="O32" s="23">
        <f t="shared" si="16"/>
        <v>63</v>
      </c>
      <c r="P32" s="25">
        <f t="shared" si="17"/>
        <v>49</v>
      </c>
      <c r="Q32" s="22">
        <f t="shared" si="18"/>
        <v>392</v>
      </c>
    </row>
    <row r="33" spans="1:17" x14ac:dyDescent="0.35">
      <c r="A33" s="1">
        <f t="shared" si="21"/>
        <v>45926</v>
      </c>
      <c r="B33" s="1" t="str">
        <f t="shared" si="10"/>
        <v>יום שישי</v>
      </c>
      <c r="C33" s="20">
        <f>AVERAGEIFS('ספט 24'!$C$7:$C$31,'ספט 24'!$B$7:$B$31,$B33)</f>
        <v>0</v>
      </c>
      <c r="D33" s="20">
        <v>0</v>
      </c>
      <c r="E33" t="s">
        <v>5</v>
      </c>
      <c r="G33">
        <f t="shared" si="20"/>
        <v>0</v>
      </c>
      <c r="H33" s="21">
        <f t="shared" si="12"/>
        <v>0</v>
      </c>
      <c r="I33">
        <f t="shared" si="22"/>
        <v>0</v>
      </c>
      <c r="J33">
        <f t="shared" si="23"/>
        <v>0</v>
      </c>
      <c r="K33">
        <v>0</v>
      </c>
      <c r="L33">
        <f t="shared" si="24"/>
        <v>0</v>
      </c>
      <c r="M33" s="21">
        <f t="shared" si="13"/>
        <v>0</v>
      </c>
      <c r="N33" s="24">
        <f t="shared" si="15"/>
        <v>0</v>
      </c>
      <c r="O33" s="23">
        <f t="shared" si="16"/>
        <v>0</v>
      </c>
      <c r="P33" s="25">
        <f t="shared" si="17"/>
        <v>0</v>
      </c>
      <c r="Q33" s="22">
        <f t="shared" si="18"/>
        <v>0</v>
      </c>
    </row>
    <row r="34" spans="1:17" x14ac:dyDescent="0.35">
      <c r="A34" s="1">
        <f t="shared" si="21"/>
        <v>45927</v>
      </c>
      <c r="B34" s="1" t="str">
        <f t="shared" si="10"/>
        <v>שבת</v>
      </c>
      <c r="C34" s="20">
        <f>AVERAGEIFS('ספט 24'!$C$7:$C$31,'ספט 24'!$B$7:$B$31,$B34)</f>
        <v>0</v>
      </c>
      <c r="D34" s="20">
        <v>0</v>
      </c>
      <c r="E34" t="s">
        <v>5</v>
      </c>
      <c r="G34">
        <f t="shared" si="20"/>
        <v>0</v>
      </c>
      <c r="H34" s="21">
        <f t="shared" si="12"/>
        <v>0</v>
      </c>
      <c r="I34">
        <f t="shared" si="22"/>
        <v>0</v>
      </c>
      <c r="J34">
        <f t="shared" si="23"/>
        <v>0</v>
      </c>
      <c r="K34">
        <v>0</v>
      </c>
      <c r="L34">
        <f t="shared" si="24"/>
        <v>0</v>
      </c>
      <c r="M34" s="21">
        <f t="shared" si="13"/>
        <v>0</v>
      </c>
      <c r="N34" s="24">
        <f t="shared" si="15"/>
        <v>0</v>
      </c>
      <c r="O34" s="23">
        <f t="shared" si="16"/>
        <v>0</v>
      </c>
      <c r="P34" s="25">
        <f t="shared" si="17"/>
        <v>0</v>
      </c>
      <c r="Q34" s="22">
        <f t="shared" si="18"/>
        <v>0</v>
      </c>
    </row>
    <row r="35" spans="1:17" x14ac:dyDescent="0.35">
      <c r="A35" s="1">
        <f t="shared" si="21"/>
        <v>45928</v>
      </c>
      <c r="B35" s="1" t="str">
        <f t="shared" si="10"/>
        <v>יום ראשון</v>
      </c>
      <c r="C35" s="20">
        <f>AVERAGEIFS('ספט 24'!$C$7:$C$31,'ספט 24'!$B$7:$B$31,$B35)</f>
        <v>366.5</v>
      </c>
      <c r="D35" s="20">
        <f>AVERAGEIFS('ספט 24'!$G$7:$G$31,'ספט 24'!$B$7:$B$31,$B35)</f>
        <v>393.25</v>
      </c>
      <c r="E35" t="s">
        <v>6</v>
      </c>
      <c r="F35">
        <v>7</v>
      </c>
      <c r="G35">
        <f xml:space="preserve"> D35  * $B$41</f>
        <v>401.11500000000001</v>
      </c>
      <c r="H35" s="21">
        <f t="shared" si="12"/>
        <v>366.5</v>
      </c>
      <c r="I35">
        <f t="shared" si="22"/>
        <v>52.144950000000001</v>
      </c>
      <c r="J35">
        <f t="shared" si="23"/>
        <v>453.25995</v>
      </c>
      <c r="K35">
        <v>368</v>
      </c>
      <c r="L35">
        <f t="shared" si="24"/>
        <v>-85.259950000000003</v>
      </c>
      <c r="M35" s="21">
        <f t="shared" si="13"/>
        <v>538.51990000000001</v>
      </c>
      <c r="N35" s="24">
        <f t="shared" si="15"/>
        <v>516.97910400000001</v>
      </c>
      <c r="O35" s="23">
        <f t="shared" si="16"/>
        <v>70</v>
      </c>
      <c r="P35" s="25">
        <f t="shared" si="17"/>
        <v>49</v>
      </c>
      <c r="Q35" s="22">
        <f t="shared" si="18"/>
        <v>392</v>
      </c>
    </row>
    <row r="36" spans="1:17" x14ac:dyDescent="0.35">
      <c r="A36" s="1">
        <f t="shared" si="21"/>
        <v>45929</v>
      </c>
      <c r="B36" s="1" t="str">
        <f t="shared" si="10"/>
        <v>יום שני</v>
      </c>
      <c r="C36" s="20">
        <f>AVERAGEIFS('ספט 24'!$C$7:$C$31,'ספט 24'!$B$7:$B$31,$B36)</f>
        <v>277.75</v>
      </c>
      <c r="D36" s="20">
        <f>AVERAGEIFS('ספט 24'!$G$7:$G$31,'ספט 24'!$B$7:$B$31,$B36)</f>
        <v>332.25</v>
      </c>
      <c r="E36" t="s">
        <v>6</v>
      </c>
      <c r="F36">
        <v>7</v>
      </c>
      <c r="G36">
        <f xml:space="preserve"> D36  * $B$41</f>
        <v>338.89499999999998</v>
      </c>
      <c r="H36" s="21">
        <f t="shared" si="12"/>
        <v>277.75</v>
      </c>
      <c r="I36">
        <f t="shared" si="22"/>
        <v>44.056350000000002</v>
      </c>
      <c r="J36">
        <f t="shared" si="23"/>
        <v>382.95134999999999</v>
      </c>
      <c r="K36">
        <v>368</v>
      </c>
      <c r="L36">
        <f t="shared" si="24"/>
        <v>-14.951349999999991</v>
      </c>
      <c r="M36" s="21">
        <f t="shared" si="13"/>
        <v>397.90269999999998</v>
      </c>
      <c r="N36" s="24">
        <f t="shared" si="15"/>
        <v>381.98659199999997</v>
      </c>
      <c r="O36" s="23">
        <f t="shared" si="16"/>
        <v>52</v>
      </c>
      <c r="P36" s="25">
        <f t="shared" si="17"/>
        <v>49</v>
      </c>
      <c r="Q36" s="22">
        <f t="shared" si="18"/>
        <v>392</v>
      </c>
    </row>
    <row r="37" spans="1:17" x14ac:dyDescent="0.35">
      <c r="A37" s="1">
        <f t="shared" si="21"/>
        <v>45930</v>
      </c>
      <c r="B37" s="1" t="str">
        <f t="shared" si="10"/>
        <v>יום שלישי</v>
      </c>
      <c r="C37" s="20">
        <f>AVERAGEIFS('ספט 24'!$C$7:$C$31,'ספט 24'!$B$7:$B$31,$B37)</f>
        <v>236</v>
      </c>
      <c r="D37" s="20">
        <f>AVERAGEIFS('ספט 24'!$G$7:$G$31,'ספט 24'!$B$7:$B$31,$B37)</f>
        <v>292.33333333333331</v>
      </c>
      <c r="E37" t="s">
        <v>6</v>
      </c>
      <c r="F37">
        <v>7</v>
      </c>
      <c r="G37">
        <f xml:space="preserve"> D37  * $B$41</f>
        <v>298.18</v>
      </c>
      <c r="H37" s="21">
        <f t="shared" si="12"/>
        <v>236</v>
      </c>
      <c r="I37">
        <f t="shared" si="22"/>
        <v>38.763400000000004</v>
      </c>
      <c r="J37">
        <f t="shared" si="23"/>
        <v>336.9434</v>
      </c>
      <c r="K37">
        <v>368</v>
      </c>
      <c r="L37">
        <f t="shared" si="24"/>
        <v>31.056600000000003</v>
      </c>
      <c r="M37" s="21">
        <f t="shared" si="13"/>
        <v>336.9434</v>
      </c>
      <c r="N37" s="24">
        <f t="shared" si="15"/>
        <v>323.465664</v>
      </c>
      <c r="O37" s="23">
        <f t="shared" si="16"/>
        <v>44</v>
      </c>
      <c r="P37" s="25">
        <f t="shared" si="17"/>
        <v>49</v>
      </c>
      <c r="Q37" s="22">
        <f t="shared" si="18"/>
        <v>392</v>
      </c>
    </row>
    <row r="40" spans="1:17" x14ac:dyDescent="0.35">
      <c r="A40" t="s">
        <v>44</v>
      </c>
      <c r="B40" t="s">
        <v>45</v>
      </c>
      <c r="C40" t="s">
        <v>52</v>
      </c>
      <c r="D40" t="s">
        <v>57</v>
      </c>
      <c r="E40" t="s">
        <v>58</v>
      </c>
      <c r="F40" t="s">
        <v>59</v>
      </c>
      <c r="G40" t="s">
        <v>60</v>
      </c>
      <c r="H40" t="s">
        <v>63</v>
      </c>
      <c r="I40" t="s">
        <v>66</v>
      </c>
      <c r="J40" t="s">
        <v>67</v>
      </c>
    </row>
    <row r="41" spans="1:17" x14ac:dyDescent="0.35">
      <c r="A41">
        <v>1</v>
      </c>
      <c r="B41">
        <v>1.02</v>
      </c>
      <c r="C41">
        <v>1.35</v>
      </c>
      <c r="D41">
        <v>56</v>
      </c>
      <c r="E41">
        <v>52</v>
      </c>
      <c r="F41">
        <v>1.55</v>
      </c>
      <c r="G41">
        <v>0.13</v>
      </c>
      <c r="H41">
        <v>1.38</v>
      </c>
      <c r="I41">
        <v>1</v>
      </c>
      <c r="J41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E4BC-DE1A-4C4C-A5E1-03A888CFD669}">
  <dimension ref="A1:I14"/>
  <sheetViews>
    <sheetView rightToLeft="1" workbookViewId="0">
      <selection activeCell="F26" sqref="F26"/>
    </sheetView>
  </sheetViews>
  <sheetFormatPr defaultRowHeight="14.15" x14ac:dyDescent="0.35"/>
  <cols>
    <col min="1" max="1" width="22" bestFit="1" customWidth="1"/>
    <col min="3" max="3" width="21.7109375" bestFit="1" customWidth="1"/>
    <col min="4" max="4" width="13.5" bestFit="1" customWidth="1"/>
    <col min="5" max="5" width="8.640625" customWidth="1"/>
    <col min="6" max="6" width="14.35546875" customWidth="1"/>
    <col min="7" max="7" width="15" customWidth="1"/>
    <col min="8" max="8" width="9.85546875" bestFit="1" customWidth="1"/>
    <col min="9" max="9" width="10.640625" bestFit="1" customWidth="1"/>
  </cols>
  <sheetData>
    <row r="1" spans="1:9" x14ac:dyDescent="0.35">
      <c r="A1" s="37" t="s">
        <v>2</v>
      </c>
      <c r="B1" s="37" t="s">
        <v>10</v>
      </c>
      <c r="C1" s="39" t="s">
        <v>46</v>
      </c>
      <c r="D1" s="42" t="s">
        <v>51</v>
      </c>
      <c r="E1" s="45"/>
      <c r="F1" s="43" t="s">
        <v>68</v>
      </c>
      <c r="G1" s="40" t="s">
        <v>69</v>
      </c>
      <c r="H1" s="50" t="s">
        <v>77</v>
      </c>
      <c r="I1" s="56" t="s">
        <v>78</v>
      </c>
    </row>
    <row r="2" spans="1:9" x14ac:dyDescent="0.35">
      <c r="A2" s="38">
        <v>45901</v>
      </c>
      <c r="B2" s="36" t="s">
        <v>76</v>
      </c>
      <c r="C2" s="48">
        <v>402.38000000000005</v>
      </c>
      <c r="D2" s="49">
        <v>504.33030000000008</v>
      </c>
      <c r="E2" s="46"/>
      <c r="F2" s="44">
        <v>290</v>
      </c>
      <c r="G2" s="41">
        <v>423</v>
      </c>
      <c r="H2" s="51">
        <f>(F2-C2)/C2</f>
        <v>-0.27928823500173972</v>
      </c>
      <c r="I2" s="53">
        <f>(G2-D2)/D2</f>
        <v>-0.16126395737079463</v>
      </c>
    </row>
    <row r="3" spans="1:9" x14ac:dyDescent="0.35">
      <c r="A3" s="38">
        <v>45902</v>
      </c>
      <c r="B3" s="36" t="s">
        <v>70</v>
      </c>
      <c r="C3" s="48">
        <v>222.75</v>
      </c>
      <c r="D3" s="49">
        <v>323.745</v>
      </c>
      <c r="E3" s="46"/>
      <c r="F3" s="44">
        <v>213</v>
      </c>
      <c r="G3" s="41">
        <v>275</v>
      </c>
      <c r="H3" s="52">
        <f t="shared" ref="H3:H11" si="0">(F3-C3)/C3</f>
        <v>-4.3771043771043773E-2</v>
      </c>
      <c r="I3" s="53">
        <f t="shared" ref="I3:I11" si="1">(G3-D3)/D3</f>
        <v>-0.15056603190782872</v>
      </c>
    </row>
    <row r="4" spans="1:9" x14ac:dyDescent="0.35">
      <c r="A4" s="38">
        <v>45903</v>
      </c>
      <c r="B4" s="36" t="s">
        <v>71</v>
      </c>
      <c r="C4" s="48">
        <v>250.75</v>
      </c>
      <c r="D4" s="49">
        <v>311.315</v>
      </c>
      <c r="E4" s="46"/>
      <c r="F4" s="44">
        <v>175</v>
      </c>
      <c r="G4" s="41">
        <v>196</v>
      </c>
      <c r="H4" s="51">
        <f t="shared" si="0"/>
        <v>-0.30209371884346958</v>
      </c>
      <c r="I4" s="53">
        <f t="shared" si="1"/>
        <v>-0.37041260459663039</v>
      </c>
    </row>
    <row r="5" spans="1:9" x14ac:dyDescent="0.35">
      <c r="A5" s="38">
        <v>45904</v>
      </c>
      <c r="B5" s="36" t="s">
        <v>72</v>
      </c>
      <c r="C5" s="48">
        <v>301.66666666666669</v>
      </c>
      <c r="D5" s="49">
        <v>308.11333333333334</v>
      </c>
      <c r="E5" s="46"/>
      <c r="F5" s="44">
        <v>197</v>
      </c>
      <c r="G5" s="41">
        <v>213</v>
      </c>
      <c r="H5" s="51">
        <f t="shared" si="0"/>
        <v>-0.34696132596685086</v>
      </c>
      <c r="I5" s="53">
        <f t="shared" si="1"/>
        <v>-0.30869593439643422</v>
      </c>
    </row>
    <row r="6" spans="1:9" x14ac:dyDescent="0.35">
      <c r="A6" s="38">
        <v>45905</v>
      </c>
      <c r="B6" s="36" t="s">
        <v>73</v>
      </c>
      <c r="C6" s="48">
        <v>0</v>
      </c>
      <c r="D6" s="49">
        <v>0</v>
      </c>
      <c r="E6" s="46"/>
      <c r="F6" s="44"/>
      <c r="G6" s="41"/>
      <c r="H6" s="54">
        <v>0</v>
      </c>
      <c r="I6" s="55">
        <v>0</v>
      </c>
    </row>
    <row r="7" spans="1:9" x14ac:dyDescent="0.35">
      <c r="A7" s="38">
        <v>45906</v>
      </c>
      <c r="B7" s="36" t="s">
        <v>74</v>
      </c>
      <c r="C7" s="48">
        <v>0</v>
      </c>
      <c r="D7" s="49">
        <v>0</v>
      </c>
      <c r="E7" s="46"/>
      <c r="F7" s="44"/>
      <c r="G7" s="41"/>
      <c r="H7" s="54">
        <v>0</v>
      </c>
      <c r="I7" s="55">
        <v>0</v>
      </c>
    </row>
    <row r="8" spans="1:9" x14ac:dyDescent="0.35">
      <c r="A8" s="38">
        <v>45907</v>
      </c>
      <c r="B8" s="36" t="s">
        <v>75</v>
      </c>
      <c r="C8" s="48">
        <v>366.5</v>
      </c>
      <c r="D8" s="49">
        <v>550.51990000000001</v>
      </c>
      <c r="E8" s="46"/>
      <c r="F8" s="44">
        <v>381</v>
      </c>
      <c r="G8" s="41">
        <v>436</v>
      </c>
      <c r="H8" s="52">
        <f t="shared" si="0"/>
        <v>3.9563437926330151E-2</v>
      </c>
      <c r="I8" s="53">
        <f t="shared" si="1"/>
        <v>-0.20802136307879154</v>
      </c>
    </row>
    <row r="9" spans="1:9" x14ac:dyDescent="0.35">
      <c r="A9" s="38">
        <v>45908</v>
      </c>
      <c r="B9" s="36" t="s">
        <v>76</v>
      </c>
      <c r="C9" s="48">
        <v>277.75</v>
      </c>
      <c r="D9" s="49">
        <v>375.4425</v>
      </c>
      <c r="E9" s="46"/>
      <c r="F9" s="44">
        <v>353</v>
      </c>
      <c r="G9" s="41">
        <v>359</v>
      </c>
      <c r="H9" s="51">
        <f t="shared" si="0"/>
        <v>0.2709270927092709</v>
      </c>
      <c r="I9" s="52">
        <f t="shared" si="1"/>
        <v>-4.3794988580142087E-2</v>
      </c>
    </row>
    <row r="10" spans="1:9" x14ac:dyDescent="0.35">
      <c r="A10" s="38">
        <v>45909</v>
      </c>
      <c r="B10" s="36" t="s">
        <v>70</v>
      </c>
      <c r="C10" s="48">
        <v>236</v>
      </c>
      <c r="D10" s="49">
        <v>330.33666666666664</v>
      </c>
      <c r="E10" s="46"/>
      <c r="F10" s="44">
        <v>274</v>
      </c>
      <c r="G10" s="41">
        <v>340</v>
      </c>
      <c r="H10" s="51">
        <f t="shared" si="0"/>
        <v>0.16101694915254236</v>
      </c>
      <c r="I10" s="52">
        <f t="shared" si="1"/>
        <v>2.9252984329118846E-2</v>
      </c>
    </row>
    <row r="11" spans="1:9" ht="14.6" thickBot="1" x14ac:dyDescent="0.4">
      <c r="A11" s="38">
        <v>45910</v>
      </c>
      <c r="B11" s="36" t="s">
        <v>71</v>
      </c>
      <c r="C11" s="48">
        <v>274</v>
      </c>
      <c r="D11" s="49">
        <v>318.66000000000003</v>
      </c>
      <c r="E11" s="47"/>
      <c r="F11" s="44">
        <v>203</v>
      </c>
      <c r="G11" s="41">
        <v>304</v>
      </c>
      <c r="H11" s="51">
        <f t="shared" si="0"/>
        <v>-0.25912408759124089</v>
      </c>
      <c r="I11" s="52">
        <f t="shared" si="1"/>
        <v>-4.6005146551183151E-2</v>
      </c>
    </row>
    <row r="13" spans="1:9" x14ac:dyDescent="0.35">
      <c r="A13" s="35" t="s">
        <v>79</v>
      </c>
      <c r="C13" s="58" t="s">
        <v>80</v>
      </c>
    </row>
    <row r="14" spans="1:9" x14ac:dyDescent="0.35">
      <c r="A14" s="57">
        <f>SUMPRODUCT(ABS(D2:D11 - G2:G11)) / SUM(G2:G11)</f>
        <v>0.19473266561927211</v>
      </c>
      <c r="C14" s="57">
        <f>SUMPRODUCT(ABS(C2:C11- F2:F11)) / SUM(F2:F11)</f>
        <v>0.24031479705976352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אפריל 24</vt:lpstr>
      <vt:lpstr>מאי 24</vt:lpstr>
      <vt:lpstr>יוני 24</vt:lpstr>
      <vt:lpstr>ינואר 25</vt:lpstr>
      <vt:lpstr>פברואר 25</vt:lpstr>
      <vt:lpstr>מרץ 25</vt:lpstr>
      <vt:lpstr>אפריל 25</vt:lpstr>
      <vt:lpstr>מאי 25</vt:lpstr>
      <vt:lpstr>יוני 25</vt:lpstr>
      <vt:lpstr>יולי 25</vt:lpstr>
      <vt:lpstr>אוגוסט 24</vt:lpstr>
      <vt:lpstr>ספט 24</vt:lpstr>
      <vt:lpstr>אוגוסט 25</vt:lpstr>
      <vt:lpstr>ספטמבר 25</vt:lpstr>
      <vt:lpstr>נציגים</vt:lpstr>
      <vt:lpstr>חיזוי אוגוסט+ספט</vt:lpstr>
      <vt:lpstr>חיזוי-תוצאות וסטיות</vt:lpstr>
    </vt:vector>
  </TitlesOfParts>
  <Company>IAI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Sasson</dc:creator>
  <cp:lastModifiedBy>maya sasson</cp:lastModifiedBy>
  <dcterms:created xsi:type="dcterms:W3CDTF">2025-06-04T05:21:52Z</dcterms:created>
  <dcterms:modified xsi:type="dcterms:W3CDTF">2026-04-01T18:32:43Z</dcterms:modified>
</cp:coreProperties>
</file>